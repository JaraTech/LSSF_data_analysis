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b-my.sharepoint.com/personal/jara_saluena_martin_vub_be/Documents/2 - Production/Articles/202508_LSSF/LSSF paper/Tables/RSM/"/>
    </mc:Choice>
  </mc:AlternateContent>
  <xr:revisionPtr revIDLastSave="1551" documentId="8_{8352AB83-44DC-4585-99E5-4025F92D0AA3}" xr6:coauthVersionLast="47" xr6:coauthVersionMax="47" xr10:uidLastSave="{6A002F88-5C39-204E-9063-0D1DB9325613}"/>
  <bookViews>
    <workbookView xWindow="0" yWindow="660" windowWidth="30240" windowHeight="18980" xr2:uid="{89596E51-4985-4201-A178-EBAEF3079403}"/>
  </bookViews>
  <sheets>
    <sheet name="Definitive" sheetId="8" r:id="rId1"/>
    <sheet name="Improved" sheetId="4" r:id="rId2"/>
    <sheet name="Coloured &amp; source" sheetId="3" r:id="rId3"/>
    <sheet name="Corrected" sheetId="2" r:id="rId4"/>
    <sheet name="From Raf" sheetId="1" r:id="rId5"/>
    <sheet name="3 - fresh to lyo" sheetId="11" r:id="rId6"/>
    <sheet name="Volume-Height" sheetId="5" r:id="rId7"/>
    <sheet name="Per volume" sheetId="6" r:id="rId8"/>
    <sheet name="Excel file_perVolume" sheetId="13" r:id="rId9"/>
    <sheet name="Per volume definitive" sheetId="9" r:id="rId10"/>
    <sheet name="Common consumption" sheetId="12" r:id="rId11"/>
  </sheets>
  <definedNames>
    <definedName name="_xlnm._FilterDatabase" localSheetId="5" hidden="1">'3 - fresh to lyo'!$A$1:$H$28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6" i="13" l="1"/>
  <c r="Q26" i="13"/>
  <c r="B26" i="13"/>
  <c r="R25" i="13"/>
  <c r="Q25" i="13"/>
  <c r="B25" i="13"/>
  <c r="R24" i="13"/>
  <c r="Q24" i="13"/>
  <c r="B24" i="13"/>
  <c r="R23" i="13"/>
  <c r="Q23" i="13"/>
  <c r="B23" i="13"/>
  <c r="R22" i="13"/>
  <c r="Q22" i="13"/>
  <c r="B22" i="13"/>
  <c r="R21" i="13"/>
  <c r="Q21" i="13"/>
  <c r="B21" i="13"/>
  <c r="R20" i="13"/>
  <c r="Q20" i="13"/>
  <c r="B20" i="13"/>
  <c r="C9" i="13"/>
  <c r="M6" i="6"/>
  <c r="M2" i="6"/>
  <c r="M3" i="6"/>
  <c r="M4" i="6"/>
  <c r="M5" i="6"/>
  <c r="M7" i="6"/>
  <c r="M8" i="6"/>
  <c r="L11" i="6"/>
  <c r="N3" i="6"/>
  <c r="N4" i="6"/>
  <c r="N5" i="6"/>
  <c r="N6" i="6"/>
  <c r="N7" i="6"/>
  <c r="N8" i="6"/>
  <c r="N2" i="6"/>
  <c r="B15" i="6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L3" i="3"/>
  <c r="I3" i="3"/>
  <c r="M3" i="3"/>
  <c r="L12" i="3"/>
  <c r="L11" i="3"/>
  <c r="L10" i="3"/>
  <c r="G4" i="3"/>
  <c r="G3" i="3"/>
  <c r="I26" i="3"/>
  <c r="I6" i="3"/>
  <c r="B3" i="12"/>
  <c r="B4" i="12" s="1"/>
  <c r="B2" i="12"/>
  <c r="E6" i="5"/>
  <c r="E5" i="5"/>
  <c r="E4" i="5"/>
  <c r="E3" i="5"/>
  <c r="E2" i="5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9" i="3"/>
  <c r="L8" i="3"/>
  <c r="L7" i="3"/>
  <c r="L6" i="3"/>
  <c r="L5" i="3"/>
  <c r="L4" i="3"/>
  <c r="U3" i="3"/>
  <c r="V3" i="3"/>
  <c r="M4" i="4"/>
  <c r="L2" i="4"/>
  <c r="Q4" i="3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19" i="3"/>
  <c r="W19" i="3"/>
  <c r="U19" i="3"/>
  <c r="V19" i="3"/>
  <c r="X19" i="3"/>
  <c r="X50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Z19" i="3" s="1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3" i="3"/>
  <c r="V37" i="3"/>
  <c r="U45" i="3"/>
  <c r="V45" i="3" s="1"/>
  <c r="U49" i="3"/>
  <c r="V49" i="3" s="1"/>
  <c r="W49" i="3" s="1"/>
  <c r="X49" i="3" s="1"/>
  <c r="Z49" i="3" s="1"/>
  <c r="U15" i="3"/>
  <c r="V15" i="3" s="1"/>
  <c r="U17" i="3"/>
  <c r="V17" i="3" s="1"/>
  <c r="U21" i="3"/>
  <c r="V21" i="3" s="1"/>
  <c r="W21" i="3" s="1"/>
  <c r="X21" i="3" s="1"/>
  <c r="Z21" i="3" s="1"/>
  <c r="U35" i="3"/>
  <c r="V35" i="3" s="1"/>
  <c r="U37" i="3"/>
  <c r="T4" i="3"/>
  <c r="U4" i="3" s="1"/>
  <c r="V4" i="3" s="1"/>
  <c r="T5" i="3"/>
  <c r="U5" i="3" s="1"/>
  <c r="V5" i="3" s="1"/>
  <c r="T6" i="3"/>
  <c r="U6" i="3" s="1"/>
  <c r="V6" i="3" s="1"/>
  <c r="T7" i="3"/>
  <c r="U7" i="3" s="1"/>
  <c r="V7" i="3" s="1"/>
  <c r="T8" i="3"/>
  <c r="U8" i="3" s="1"/>
  <c r="V8" i="3" s="1"/>
  <c r="W8" i="3" s="1"/>
  <c r="X8" i="3" s="1"/>
  <c r="Z8" i="3" s="1"/>
  <c r="T9" i="3"/>
  <c r="U9" i="3" s="1"/>
  <c r="V9" i="3" s="1"/>
  <c r="T10" i="3"/>
  <c r="U10" i="3" s="1"/>
  <c r="V10" i="3" s="1"/>
  <c r="T11" i="3"/>
  <c r="U11" i="3" s="1"/>
  <c r="V11" i="3" s="1"/>
  <c r="W11" i="3" s="1"/>
  <c r="X11" i="3" s="1"/>
  <c r="Z11" i="3" s="1"/>
  <c r="T12" i="3"/>
  <c r="U12" i="3" s="1"/>
  <c r="V12" i="3" s="1"/>
  <c r="T13" i="3"/>
  <c r="U13" i="3" s="1"/>
  <c r="V13" i="3" s="1"/>
  <c r="T14" i="3"/>
  <c r="U14" i="3" s="1"/>
  <c r="V14" i="3" s="1"/>
  <c r="W14" i="3" s="1"/>
  <c r="X14" i="3" s="1"/>
  <c r="Z14" i="3" s="1"/>
  <c r="T15" i="3"/>
  <c r="T16" i="3"/>
  <c r="U16" i="3" s="1"/>
  <c r="V16" i="3" s="1"/>
  <c r="T17" i="3"/>
  <c r="T18" i="3"/>
  <c r="U18" i="3" s="1"/>
  <c r="V18" i="3" s="1"/>
  <c r="W18" i="3" s="1"/>
  <c r="X18" i="3" s="1"/>
  <c r="Z18" i="3" s="1"/>
  <c r="T19" i="3"/>
  <c r="T20" i="3"/>
  <c r="U20" i="3" s="1"/>
  <c r="V20" i="3" s="1"/>
  <c r="T21" i="3"/>
  <c r="T22" i="3"/>
  <c r="U22" i="3" s="1"/>
  <c r="V22" i="3" s="1"/>
  <c r="T23" i="3"/>
  <c r="U23" i="3" s="1"/>
  <c r="V23" i="3" s="1"/>
  <c r="T24" i="3"/>
  <c r="U24" i="3" s="1"/>
  <c r="V24" i="3" s="1"/>
  <c r="T25" i="3"/>
  <c r="U25" i="3" s="1"/>
  <c r="V25" i="3" s="1"/>
  <c r="T26" i="3"/>
  <c r="U26" i="3" s="1"/>
  <c r="V26" i="3" s="1"/>
  <c r="T27" i="3"/>
  <c r="U27" i="3" s="1"/>
  <c r="V27" i="3" s="1"/>
  <c r="T28" i="3"/>
  <c r="U28" i="3" s="1"/>
  <c r="V28" i="3" s="1"/>
  <c r="W28" i="3" s="1"/>
  <c r="X28" i="3" s="1"/>
  <c r="Z28" i="3" s="1"/>
  <c r="T29" i="3"/>
  <c r="U29" i="3" s="1"/>
  <c r="V29" i="3" s="1"/>
  <c r="T30" i="3"/>
  <c r="U30" i="3" s="1"/>
  <c r="V30" i="3" s="1"/>
  <c r="T31" i="3"/>
  <c r="U31" i="3" s="1"/>
  <c r="V31" i="3" s="1"/>
  <c r="W31" i="3" s="1"/>
  <c r="X31" i="3" s="1"/>
  <c r="Z31" i="3" s="1"/>
  <c r="T32" i="3"/>
  <c r="U32" i="3" s="1"/>
  <c r="V32" i="3" s="1"/>
  <c r="T33" i="3"/>
  <c r="U33" i="3" s="1"/>
  <c r="V33" i="3" s="1"/>
  <c r="T34" i="3"/>
  <c r="U34" i="3" s="1"/>
  <c r="V34" i="3" s="1"/>
  <c r="T35" i="3"/>
  <c r="T36" i="3"/>
  <c r="U36" i="3" s="1"/>
  <c r="V36" i="3" s="1"/>
  <c r="T37" i="3"/>
  <c r="T38" i="3"/>
  <c r="U38" i="3" s="1"/>
  <c r="V38" i="3" s="1"/>
  <c r="W38" i="3" s="1"/>
  <c r="X38" i="3" s="1"/>
  <c r="Z38" i="3" s="1"/>
  <c r="T39" i="3"/>
  <c r="U39" i="3" s="1"/>
  <c r="V39" i="3" s="1"/>
  <c r="W39" i="3" s="1"/>
  <c r="X39" i="3" s="1"/>
  <c r="Z39" i="3" s="1"/>
  <c r="T40" i="3"/>
  <c r="U40" i="3" s="1"/>
  <c r="V40" i="3" s="1"/>
  <c r="T41" i="3"/>
  <c r="U41" i="3" s="1"/>
  <c r="V41" i="3" s="1"/>
  <c r="W41" i="3" s="1"/>
  <c r="X41" i="3" s="1"/>
  <c r="Z41" i="3" s="1"/>
  <c r="T42" i="3"/>
  <c r="U42" i="3" s="1"/>
  <c r="V42" i="3" s="1"/>
  <c r="T43" i="3"/>
  <c r="U43" i="3" s="1"/>
  <c r="V43" i="3" s="1"/>
  <c r="T44" i="3"/>
  <c r="U44" i="3" s="1"/>
  <c r="V44" i="3" s="1"/>
  <c r="W44" i="3" s="1"/>
  <c r="X44" i="3" s="1"/>
  <c r="Z44" i="3" s="1"/>
  <c r="T45" i="3"/>
  <c r="T46" i="3"/>
  <c r="U46" i="3" s="1"/>
  <c r="V46" i="3" s="1"/>
  <c r="T47" i="3"/>
  <c r="U47" i="3" s="1"/>
  <c r="V47" i="3" s="1"/>
  <c r="T48" i="3"/>
  <c r="U48" i="3" s="1"/>
  <c r="V48" i="3" s="1"/>
  <c r="W48" i="3" s="1"/>
  <c r="X48" i="3" s="1"/>
  <c r="Z48" i="3" s="1"/>
  <c r="T49" i="3"/>
  <c r="T50" i="3"/>
  <c r="U50" i="3" s="1"/>
  <c r="V50" i="3" s="1"/>
  <c r="T51" i="3"/>
  <c r="U51" i="3" s="1"/>
  <c r="V51" i="3" s="1"/>
  <c r="W51" i="3" s="1"/>
  <c r="X51" i="3" s="1"/>
  <c r="Z51" i="3" s="1"/>
  <c r="T3" i="3"/>
  <c r="G28" i="11"/>
  <c r="F28" i="11"/>
  <c r="H28" i="11" s="1"/>
  <c r="G27" i="11"/>
  <c r="F27" i="11"/>
  <c r="H27" i="11" s="1"/>
  <c r="G26" i="11"/>
  <c r="F26" i="11"/>
  <c r="H26" i="11" s="1"/>
  <c r="G25" i="11"/>
  <c r="F25" i="11"/>
  <c r="H25" i="11" s="1"/>
  <c r="G24" i="11"/>
  <c r="F24" i="11"/>
  <c r="H24" i="11" s="1"/>
  <c r="G23" i="11"/>
  <c r="F23" i="11"/>
  <c r="H23" i="11" s="1"/>
  <c r="G22" i="11"/>
  <c r="F22" i="11"/>
  <c r="H22" i="11" s="1"/>
  <c r="G21" i="11"/>
  <c r="F21" i="11"/>
  <c r="H21" i="11" s="1"/>
  <c r="G20" i="11"/>
  <c r="F20" i="11"/>
  <c r="H20" i="11" s="1"/>
  <c r="G19" i="11"/>
  <c r="F19" i="11"/>
  <c r="H19" i="11" s="1"/>
  <c r="G18" i="11"/>
  <c r="F18" i="11"/>
  <c r="H18" i="11" s="1"/>
  <c r="G17" i="11"/>
  <c r="F17" i="11"/>
  <c r="H17" i="11" s="1"/>
  <c r="G16" i="11"/>
  <c r="F16" i="11"/>
  <c r="H16" i="11" s="1"/>
  <c r="G15" i="11"/>
  <c r="F15" i="11"/>
  <c r="H15" i="11" s="1"/>
  <c r="G14" i="11"/>
  <c r="F14" i="11"/>
  <c r="H14" i="11" s="1"/>
  <c r="G13" i="11"/>
  <c r="F13" i="11"/>
  <c r="H13" i="11" s="1"/>
  <c r="G12" i="11"/>
  <c r="F12" i="11"/>
  <c r="H12" i="11" s="1"/>
  <c r="G11" i="11"/>
  <c r="F11" i="11"/>
  <c r="H11" i="11" s="1"/>
  <c r="G10" i="11"/>
  <c r="F10" i="11"/>
  <c r="H10" i="11" s="1"/>
  <c r="G9" i="11"/>
  <c r="F9" i="11"/>
  <c r="H9" i="11" s="1"/>
  <c r="G8" i="11"/>
  <c r="F8" i="11"/>
  <c r="H8" i="11" s="1"/>
  <c r="G7" i="11"/>
  <c r="F7" i="11"/>
  <c r="H7" i="11" s="1"/>
  <c r="G6" i="11"/>
  <c r="F6" i="11"/>
  <c r="H6" i="11" s="1"/>
  <c r="G5" i="11"/>
  <c r="F5" i="11"/>
  <c r="G4" i="11"/>
  <c r="F4" i="11"/>
  <c r="H4" i="11" s="1"/>
  <c r="G3" i="11"/>
  <c r="F3" i="11"/>
  <c r="H3" i="11" s="1"/>
  <c r="G2" i="11"/>
  <c r="F2" i="11"/>
  <c r="H2" i="11" s="1"/>
  <c r="I51" i="3"/>
  <c r="I50" i="3"/>
  <c r="W50" i="3" s="1"/>
  <c r="I49" i="3"/>
  <c r="I48" i="3"/>
  <c r="I47" i="3"/>
  <c r="W47" i="3" s="1"/>
  <c r="X47" i="3" s="1"/>
  <c r="Z47" i="3" s="1"/>
  <c r="I46" i="3"/>
  <c r="I45" i="3"/>
  <c r="I44" i="3"/>
  <c r="I43" i="3"/>
  <c r="I42" i="3"/>
  <c r="I41" i="3"/>
  <c r="I40" i="3"/>
  <c r="W40" i="3" s="1"/>
  <c r="X40" i="3" s="1"/>
  <c r="Z40" i="3" s="1"/>
  <c r="I39" i="3"/>
  <c r="I38" i="3"/>
  <c r="I37" i="3"/>
  <c r="W37" i="3" s="1"/>
  <c r="X37" i="3" s="1"/>
  <c r="Z37" i="3" s="1"/>
  <c r="I36" i="3"/>
  <c r="I35" i="3"/>
  <c r="I34" i="3"/>
  <c r="W34" i="3" s="1"/>
  <c r="X34" i="3" s="1"/>
  <c r="Z34" i="3" s="1"/>
  <c r="I33" i="3"/>
  <c r="I32" i="3"/>
  <c r="I31" i="3"/>
  <c r="I30" i="3"/>
  <c r="W30" i="3" s="1"/>
  <c r="X30" i="3" s="1"/>
  <c r="Z30" i="3" s="1"/>
  <c r="I29" i="3"/>
  <c r="I28" i="3"/>
  <c r="I27" i="3"/>
  <c r="I25" i="3"/>
  <c r="I24" i="3"/>
  <c r="I23" i="3"/>
  <c r="I22" i="3"/>
  <c r="I21" i="3"/>
  <c r="I20" i="3"/>
  <c r="W20" i="3" s="1"/>
  <c r="X20" i="3" s="1"/>
  <c r="Z20" i="3" s="1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5" i="3"/>
  <c r="I4" i="3"/>
  <c r="E3" i="6"/>
  <c r="E4" i="6"/>
  <c r="E5" i="6"/>
  <c r="E6" i="6"/>
  <c r="E7" i="6"/>
  <c r="E8" i="6"/>
  <c r="E2" i="6"/>
  <c r="B11" i="6"/>
  <c r="H11" i="6"/>
  <c r="I11" i="6"/>
  <c r="B19" i="6"/>
  <c r="C19" i="6"/>
  <c r="B2" i="6"/>
  <c r="B3" i="6"/>
  <c r="B4" i="6"/>
  <c r="B5" i="6"/>
  <c r="B6" i="6"/>
  <c r="B7" i="6"/>
  <c r="B8" i="6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F5" i="4"/>
  <c r="F16" i="5"/>
  <c r="F12" i="5"/>
  <c r="D18" i="5"/>
  <c r="B26" i="5"/>
  <c r="B14" i="5"/>
  <c r="L55" i="3"/>
  <c r="M55" i="3" s="1"/>
  <c r="F2" i="4"/>
  <c r="O4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3" i="4"/>
  <c r="O2" i="4"/>
  <c r="B32" i="5"/>
  <c r="B23" i="5"/>
  <c r="B27" i="5" s="1"/>
  <c r="H16" i="5"/>
  <c r="D16" i="5"/>
  <c r="H15" i="5"/>
  <c r="F15" i="5"/>
  <c r="D15" i="5"/>
  <c r="H14" i="5"/>
  <c r="F14" i="5"/>
  <c r="D14" i="5"/>
  <c r="H13" i="5"/>
  <c r="F13" i="5"/>
  <c r="D13" i="5"/>
  <c r="H12" i="5"/>
  <c r="D12" i="5"/>
  <c r="H11" i="5"/>
  <c r="F11" i="5"/>
  <c r="D11" i="5"/>
  <c r="B11" i="5"/>
  <c r="B12" i="5" s="1"/>
  <c r="B13" i="5" s="1"/>
  <c r="B15" i="5" s="1"/>
  <c r="B16" i="5" s="1"/>
  <c r="H10" i="5"/>
  <c r="F10" i="5"/>
  <c r="D10" i="5"/>
  <c r="B25" i="5"/>
  <c r="F3" i="4"/>
  <c r="F4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J3" i="2"/>
  <c r="K3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H4" i="2"/>
  <c r="H6" i="2"/>
  <c r="I5" i="2"/>
  <c r="H7" i="2"/>
  <c r="G6" i="2"/>
  <c r="C50" i="4"/>
  <c r="K50" i="4" s="1"/>
  <c r="C49" i="4"/>
  <c r="K49" i="4" s="1"/>
  <c r="C48" i="4"/>
  <c r="K48" i="4" s="1"/>
  <c r="C47" i="4"/>
  <c r="K47" i="4" s="1"/>
  <c r="C46" i="4"/>
  <c r="K46" i="4" s="1"/>
  <c r="C45" i="4"/>
  <c r="K45" i="4" s="1"/>
  <c r="C44" i="4"/>
  <c r="K44" i="4" s="1"/>
  <c r="C43" i="4"/>
  <c r="K43" i="4" s="1"/>
  <c r="C42" i="4"/>
  <c r="K42" i="4" s="1"/>
  <c r="C41" i="4"/>
  <c r="K41" i="4" s="1"/>
  <c r="C40" i="4"/>
  <c r="K40" i="4" s="1"/>
  <c r="C39" i="4"/>
  <c r="K39" i="4" s="1"/>
  <c r="C38" i="4"/>
  <c r="K38" i="4" s="1"/>
  <c r="C37" i="4"/>
  <c r="K37" i="4" s="1"/>
  <c r="C36" i="4"/>
  <c r="K36" i="4" s="1"/>
  <c r="C35" i="4"/>
  <c r="K35" i="4" s="1"/>
  <c r="C34" i="4"/>
  <c r="K34" i="4" s="1"/>
  <c r="C33" i="4"/>
  <c r="K33" i="4" s="1"/>
  <c r="C32" i="4"/>
  <c r="K32" i="4" s="1"/>
  <c r="C31" i="4"/>
  <c r="K31" i="4" s="1"/>
  <c r="C30" i="4"/>
  <c r="K30" i="4" s="1"/>
  <c r="C29" i="4"/>
  <c r="K29" i="4" s="1"/>
  <c r="C28" i="4"/>
  <c r="K28" i="4" s="1"/>
  <c r="C27" i="4"/>
  <c r="K27" i="4" s="1"/>
  <c r="C26" i="4"/>
  <c r="K26" i="4" s="1"/>
  <c r="C25" i="4"/>
  <c r="K25" i="4" s="1"/>
  <c r="C24" i="4"/>
  <c r="K24" i="4" s="1"/>
  <c r="C23" i="4"/>
  <c r="K23" i="4" s="1"/>
  <c r="C22" i="4"/>
  <c r="K22" i="4" s="1"/>
  <c r="C21" i="4"/>
  <c r="K21" i="4" s="1"/>
  <c r="C20" i="4"/>
  <c r="K20" i="4" s="1"/>
  <c r="C19" i="4"/>
  <c r="K19" i="4" s="1"/>
  <c r="C18" i="4"/>
  <c r="K18" i="4" s="1"/>
  <c r="C17" i="4"/>
  <c r="K17" i="4" s="1"/>
  <c r="C16" i="4"/>
  <c r="K16" i="4" s="1"/>
  <c r="C15" i="4"/>
  <c r="K15" i="4" s="1"/>
  <c r="C14" i="4"/>
  <c r="K14" i="4" s="1"/>
  <c r="C13" i="4"/>
  <c r="K13" i="4" s="1"/>
  <c r="C12" i="4"/>
  <c r="K12" i="4" s="1"/>
  <c r="C11" i="4"/>
  <c r="K11" i="4" s="1"/>
  <c r="C10" i="4"/>
  <c r="K10" i="4" s="1"/>
  <c r="C9" i="4"/>
  <c r="K9" i="4" s="1"/>
  <c r="C8" i="4"/>
  <c r="K8" i="4" s="1"/>
  <c r="C7" i="4"/>
  <c r="K7" i="4" s="1"/>
  <c r="C6" i="4"/>
  <c r="K6" i="4" s="1"/>
  <c r="C5" i="4"/>
  <c r="K5" i="4" s="1"/>
  <c r="C4" i="4"/>
  <c r="K4" i="4" s="1"/>
  <c r="C3" i="4"/>
  <c r="K3" i="4" s="1"/>
  <c r="C2" i="4"/>
  <c r="K2" i="4" s="1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G3" i="2"/>
  <c r="H3" i="2" s="1"/>
  <c r="K51" i="2"/>
  <c r="G51" i="2"/>
  <c r="D51" i="2"/>
  <c r="I51" i="2" s="1"/>
  <c r="K50" i="2"/>
  <c r="G50" i="2"/>
  <c r="D50" i="2"/>
  <c r="I50" i="2" s="1"/>
  <c r="K49" i="2"/>
  <c r="G49" i="2"/>
  <c r="D49" i="2"/>
  <c r="I49" i="2" s="1"/>
  <c r="K48" i="2"/>
  <c r="G48" i="2"/>
  <c r="D48" i="2"/>
  <c r="I48" i="2" s="1"/>
  <c r="K47" i="2"/>
  <c r="G47" i="2"/>
  <c r="D47" i="2"/>
  <c r="I47" i="2" s="1"/>
  <c r="K46" i="2"/>
  <c r="G46" i="2"/>
  <c r="D46" i="2"/>
  <c r="I46" i="2" s="1"/>
  <c r="K45" i="2"/>
  <c r="G45" i="2"/>
  <c r="D45" i="2"/>
  <c r="I45" i="2" s="1"/>
  <c r="K44" i="2"/>
  <c r="G44" i="2"/>
  <c r="D44" i="2"/>
  <c r="I44" i="2" s="1"/>
  <c r="K43" i="2"/>
  <c r="G43" i="2"/>
  <c r="D43" i="2"/>
  <c r="I43" i="2" s="1"/>
  <c r="K42" i="2"/>
  <c r="G42" i="2"/>
  <c r="D42" i="2"/>
  <c r="I42" i="2" s="1"/>
  <c r="K41" i="2"/>
  <c r="G41" i="2"/>
  <c r="D41" i="2"/>
  <c r="I41" i="2" s="1"/>
  <c r="K40" i="2"/>
  <c r="G40" i="2"/>
  <c r="D40" i="2"/>
  <c r="I40" i="2" s="1"/>
  <c r="K39" i="2"/>
  <c r="G39" i="2"/>
  <c r="D39" i="2"/>
  <c r="I39" i="2" s="1"/>
  <c r="K38" i="2"/>
  <c r="G38" i="2"/>
  <c r="D38" i="2"/>
  <c r="I38" i="2" s="1"/>
  <c r="K37" i="2"/>
  <c r="G37" i="2"/>
  <c r="D37" i="2"/>
  <c r="I37" i="2" s="1"/>
  <c r="K36" i="2"/>
  <c r="G36" i="2"/>
  <c r="D36" i="2"/>
  <c r="I36" i="2" s="1"/>
  <c r="K35" i="2"/>
  <c r="G35" i="2"/>
  <c r="D35" i="2"/>
  <c r="I35" i="2" s="1"/>
  <c r="K34" i="2"/>
  <c r="G34" i="2"/>
  <c r="D34" i="2"/>
  <c r="I34" i="2" s="1"/>
  <c r="K33" i="2"/>
  <c r="G33" i="2"/>
  <c r="D33" i="2"/>
  <c r="I33" i="2" s="1"/>
  <c r="K32" i="2"/>
  <c r="G32" i="2"/>
  <c r="D32" i="2"/>
  <c r="I32" i="2" s="1"/>
  <c r="K31" i="2"/>
  <c r="G31" i="2"/>
  <c r="D31" i="2"/>
  <c r="I31" i="2" s="1"/>
  <c r="K30" i="2"/>
  <c r="G30" i="2"/>
  <c r="D30" i="2"/>
  <c r="I30" i="2" s="1"/>
  <c r="K29" i="2"/>
  <c r="G29" i="2"/>
  <c r="D29" i="2"/>
  <c r="I29" i="2" s="1"/>
  <c r="K28" i="2"/>
  <c r="G28" i="2"/>
  <c r="D28" i="2"/>
  <c r="I28" i="2" s="1"/>
  <c r="K27" i="2"/>
  <c r="G27" i="2"/>
  <c r="D27" i="2"/>
  <c r="I27" i="2" s="1"/>
  <c r="K26" i="2"/>
  <c r="G26" i="2"/>
  <c r="D26" i="2"/>
  <c r="I26" i="2" s="1"/>
  <c r="K25" i="2"/>
  <c r="G25" i="2"/>
  <c r="D25" i="2"/>
  <c r="I25" i="2" s="1"/>
  <c r="K24" i="2"/>
  <c r="G24" i="2"/>
  <c r="D24" i="2"/>
  <c r="I24" i="2" s="1"/>
  <c r="K23" i="2"/>
  <c r="G23" i="2"/>
  <c r="D23" i="2"/>
  <c r="I23" i="2" s="1"/>
  <c r="K22" i="2"/>
  <c r="G22" i="2"/>
  <c r="D22" i="2"/>
  <c r="I22" i="2" s="1"/>
  <c r="K21" i="2"/>
  <c r="G21" i="2"/>
  <c r="D21" i="2"/>
  <c r="I21" i="2" s="1"/>
  <c r="K20" i="2"/>
  <c r="G20" i="2"/>
  <c r="D20" i="2"/>
  <c r="I20" i="2" s="1"/>
  <c r="K19" i="2"/>
  <c r="G19" i="2"/>
  <c r="D19" i="2"/>
  <c r="I19" i="2" s="1"/>
  <c r="K18" i="2"/>
  <c r="G18" i="2"/>
  <c r="D18" i="2"/>
  <c r="I18" i="2" s="1"/>
  <c r="K17" i="2"/>
  <c r="G17" i="2"/>
  <c r="D17" i="2"/>
  <c r="I17" i="2" s="1"/>
  <c r="K16" i="2"/>
  <c r="G16" i="2"/>
  <c r="D16" i="2"/>
  <c r="I16" i="2" s="1"/>
  <c r="K15" i="2"/>
  <c r="G15" i="2"/>
  <c r="D15" i="2"/>
  <c r="I15" i="2" s="1"/>
  <c r="K14" i="2"/>
  <c r="G14" i="2"/>
  <c r="D14" i="2"/>
  <c r="I14" i="2" s="1"/>
  <c r="K13" i="2"/>
  <c r="G13" i="2"/>
  <c r="D13" i="2"/>
  <c r="I13" i="2" s="1"/>
  <c r="K12" i="2"/>
  <c r="G12" i="2"/>
  <c r="D12" i="2"/>
  <c r="I12" i="2" s="1"/>
  <c r="K11" i="2"/>
  <c r="G11" i="2"/>
  <c r="D11" i="2"/>
  <c r="I11" i="2" s="1"/>
  <c r="K10" i="2"/>
  <c r="G10" i="2"/>
  <c r="D10" i="2"/>
  <c r="I10" i="2" s="1"/>
  <c r="K9" i="2"/>
  <c r="G9" i="2"/>
  <c r="D9" i="2"/>
  <c r="I9" i="2" s="1"/>
  <c r="K8" i="2"/>
  <c r="G8" i="2"/>
  <c r="D8" i="2"/>
  <c r="I8" i="2" s="1"/>
  <c r="K7" i="2"/>
  <c r="G7" i="2"/>
  <c r="D7" i="2"/>
  <c r="I7" i="2" s="1"/>
  <c r="K6" i="2"/>
  <c r="D6" i="2"/>
  <c r="I6" i="2" s="1"/>
  <c r="K5" i="2"/>
  <c r="G5" i="2"/>
  <c r="D5" i="2"/>
  <c r="K4" i="2"/>
  <c r="G4" i="2"/>
  <c r="D4" i="2"/>
  <c r="I4" i="2" s="1"/>
  <c r="D3" i="2"/>
  <c r="K3" i="1"/>
  <c r="J3" i="1"/>
  <c r="I3" i="1"/>
  <c r="H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4" i="1"/>
  <c r="I5" i="1"/>
  <c r="I6" i="1"/>
  <c r="I7" i="1"/>
  <c r="I8" i="1"/>
  <c r="I9" i="1"/>
  <c r="K29" i="1"/>
  <c r="K15" i="1"/>
  <c r="K12" i="1"/>
  <c r="J50" i="1"/>
  <c r="J48" i="1"/>
  <c r="J47" i="1"/>
  <c r="J38" i="1"/>
  <c r="J37" i="1"/>
  <c r="J36" i="1"/>
  <c r="J34" i="1"/>
  <c r="J22" i="1"/>
  <c r="J20" i="1"/>
  <c r="J19" i="1"/>
  <c r="J10" i="1"/>
  <c r="J4" i="1"/>
  <c r="J5" i="1"/>
  <c r="J7" i="1"/>
  <c r="D51" i="1"/>
  <c r="J51" i="1" s="1"/>
  <c r="D50" i="1"/>
  <c r="D49" i="1"/>
  <c r="J49" i="1" s="1"/>
  <c r="D48" i="1"/>
  <c r="D47" i="1"/>
  <c r="D46" i="1"/>
  <c r="J46" i="1" s="1"/>
  <c r="D45" i="1"/>
  <c r="J45" i="1" s="1"/>
  <c r="D44" i="1"/>
  <c r="J44" i="1" s="1"/>
  <c r="D43" i="1"/>
  <c r="J43" i="1" s="1"/>
  <c r="D42" i="1"/>
  <c r="J42" i="1" s="1"/>
  <c r="D41" i="1"/>
  <c r="J41" i="1" s="1"/>
  <c r="D40" i="1"/>
  <c r="J40" i="1" s="1"/>
  <c r="D39" i="1"/>
  <c r="J39" i="1" s="1"/>
  <c r="D38" i="1"/>
  <c r="D37" i="1"/>
  <c r="D36" i="1"/>
  <c r="D35" i="1"/>
  <c r="J35" i="1" s="1"/>
  <c r="D34" i="1"/>
  <c r="D33" i="1"/>
  <c r="J33" i="1" s="1"/>
  <c r="D32" i="1"/>
  <c r="J32" i="1" s="1"/>
  <c r="D31" i="1"/>
  <c r="J31" i="1" s="1"/>
  <c r="D30" i="1"/>
  <c r="J30" i="1" s="1"/>
  <c r="D29" i="1"/>
  <c r="J29" i="1" s="1"/>
  <c r="D28" i="1"/>
  <c r="J28" i="1" s="1"/>
  <c r="D27" i="1"/>
  <c r="J27" i="1" s="1"/>
  <c r="D26" i="1"/>
  <c r="J26" i="1" s="1"/>
  <c r="D25" i="1"/>
  <c r="J25" i="1" s="1"/>
  <c r="D24" i="1"/>
  <c r="J24" i="1" s="1"/>
  <c r="D23" i="1"/>
  <c r="J23" i="1" s="1"/>
  <c r="D22" i="1"/>
  <c r="D21" i="1"/>
  <c r="J21" i="1" s="1"/>
  <c r="D20" i="1"/>
  <c r="D19" i="1"/>
  <c r="D18" i="1"/>
  <c r="J18" i="1" s="1"/>
  <c r="D17" i="1"/>
  <c r="J17" i="1" s="1"/>
  <c r="D16" i="1"/>
  <c r="J16" i="1" s="1"/>
  <c r="D15" i="1"/>
  <c r="J15" i="1" s="1"/>
  <c r="D14" i="1"/>
  <c r="J14" i="1" s="1"/>
  <c r="D13" i="1"/>
  <c r="J13" i="1" s="1"/>
  <c r="D12" i="1"/>
  <c r="J12" i="1" s="1"/>
  <c r="D11" i="1"/>
  <c r="J11" i="1" s="1"/>
  <c r="D10" i="1"/>
  <c r="D4" i="1"/>
  <c r="D5" i="1"/>
  <c r="D6" i="1"/>
  <c r="J6" i="1" s="1"/>
  <c r="D7" i="1"/>
  <c r="D8" i="1"/>
  <c r="J8" i="1" s="1"/>
  <c r="D9" i="1"/>
  <c r="J9" i="1" s="1"/>
  <c r="D3" i="1"/>
  <c r="H4" i="1"/>
  <c r="H5" i="1"/>
  <c r="H6" i="1"/>
  <c r="H7" i="1"/>
  <c r="H8" i="1"/>
  <c r="K8" i="1" s="1"/>
  <c r="H9" i="1"/>
  <c r="K9" i="1" s="1"/>
  <c r="H10" i="1"/>
  <c r="H11" i="1"/>
  <c r="K11" i="1" s="1"/>
  <c r="H12" i="1"/>
  <c r="H13" i="1"/>
  <c r="H14" i="1"/>
  <c r="H15" i="1"/>
  <c r="H16" i="1"/>
  <c r="K16" i="1" s="1"/>
  <c r="H17" i="1"/>
  <c r="H18" i="1"/>
  <c r="H19" i="1"/>
  <c r="H20" i="1"/>
  <c r="H21" i="1"/>
  <c r="H22" i="1"/>
  <c r="H23" i="1"/>
  <c r="K23" i="1" s="1"/>
  <c r="H24" i="1"/>
  <c r="H25" i="1"/>
  <c r="H26" i="1"/>
  <c r="K26" i="1" s="1"/>
  <c r="H27" i="1"/>
  <c r="K27" i="1" s="1"/>
  <c r="H28" i="1"/>
  <c r="K28" i="1" s="1"/>
  <c r="H29" i="1"/>
  <c r="H30" i="1"/>
  <c r="K30" i="1" s="1"/>
  <c r="H31" i="1"/>
  <c r="H32" i="1"/>
  <c r="H33" i="1"/>
  <c r="H34" i="1"/>
  <c r="H35" i="1"/>
  <c r="H36" i="1"/>
  <c r="H37" i="1"/>
  <c r="K37" i="1" s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D26" i="13" l="1"/>
  <c r="C26" i="13"/>
  <c r="D25" i="13"/>
  <c r="C25" i="13"/>
  <c r="C24" i="13"/>
  <c r="D24" i="13"/>
  <c r="C23" i="13"/>
  <c r="D23" i="13"/>
  <c r="C22" i="13"/>
  <c r="D22" i="13"/>
  <c r="C21" i="13"/>
  <c r="D21" i="13"/>
  <c r="D20" i="13"/>
  <c r="C20" i="13"/>
  <c r="F20" i="13"/>
  <c r="G20" i="13" s="1"/>
  <c r="I25" i="13"/>
  <c r="F25" i="13"/>
  <c r="G25" i="13" s="1"/>
  <c r="I20" i="13"/>
  <c r="F24" i="13"/>
  <c r="G24" i="13" s="1"/>
  <c r="F26" i="13"/>
  <c r="G26" i="13" s="1"/>
  <c r="I26" i="13"/>
  <c r="F23" i="13"/>
  <c r="G23" i="13" s="1"/>
  <c r="I21" i="13"/>
  <c r="I22" i="13"/>
  <c r="F22" i="13"/>
  <c r="G22" i="13" s="1"/>
  <c r="I23" i="13"/>
  <c r="I24" i="13"/>
  <c r="F21" i="13"/>
  <c r="G21" i="13" s="1"/>
  <c r="Z50" i="3"/>
  <c r="H2" i="6"/>
  <c r="J2" i="6"/>
  <c r="P2" i="6" s="1"/>
  <c r="I3" i="6"/>
  <c r="O3" i="6" s="1"/>
  <c r="Q3" i="6" s="1"/>
  <c r="I4" i="6"/>
  <c r="O4" i="6" s="1"/>
  <c r="Q4" i="6" s="1"/>
  <c r="I5" i="6"/>
  <c r="O5" i="6" s="1"/>
  <c r="Q5" i="6" s="1"/>
  <c r="I6" i="6"/>
  <c r="O6" i="6" s="1"/>
  <c r="Q6" i="6" s="1"/>
  <c r="I7" i="6"/>
  <c r="O7" i="6" s="1"/>
  <c r="Q7" i="6" s="1"/>
  <c r="I8" i="6"/>
  <c r="O8" i="6" s="1"/>
  <c r="I2" i="6"/>
  <c r="O2" i="6" s="1"/>
  <c r="Q2" i="6" s="1"/>
  <c r="J3" i="6"/>
  <c r="P3" i="6" s="1"/>
  <c r="J4" i="6"/>
  <c r="P4" i="6" s="1"/>
  <c r="J5" i="6"/>
  <c r="P5" i="6" s="1"/>
  <c r="J6" i="6"/>
  <c r="P6" i="6" s="1"/>
  <c r="J7" i="6"/>
  <c r="P7" i="6" s="1"/>
  <c r="J8" i="6"/>
  <c r="P8" i="6" s="1"/>
  <c r="H3" i="6"/>
  <c r="C20" i="6" s="1"/>
  <c r="H4" i="6"/>
  <c r="H5" i="6"/>
  <c r="H6" i="6"/>
  <c r="H7" i="6"/>
  <c r="H8" i="6"/>
  <c r="B21" i="6"/>
  <c r="C21" i="6"/>
  <c r="P3" i="3"/>
  <c r="W3" i="3"/>
  <c r="X3" i="3" s="1"/>
  <c r="AC3" i="3"/>
  <c r="W24" i="3"/>
  <c r="X24" i="3" s="1"/>
  <c r="Z24" i="3" s="1"/>
  <c r="W5" i="3"/>
  <c r="X5" i="3" s="1"/>
  <c r="Z5" i="3" s="1"/>
  <c r="W25" i="3"/>
  <c r="X25" i="3" s="1"/>
  <c r="Z25" i="3" s="1"/>
  <c r="Z3" i="3"/>
  <c r="W7" i="3"/>
  <c r="X7" i="3" s="1"/>
  <c r="Z7" i="3" s="1"/>
  <c r="W17" i="3"/>
  <c r="X17" i="3" s="1"/>
  <c r="Z17" i="3" s="1"/>
  <c r="W27" i="3"/>
  <c r="X27" i="3" s="1"/>
  <c r="Z27" i="3" s="1"/>
  <c r="W29" i="3"/>
  <c r="X29" i="3" s="1"/>
  <c r="Z29" i="3" s="1"/>
  <c r="W9" i="3"/>
  <c r="X9" i="3" s="1"/>
  <c r="Z9" i="3" s="1"/>
  <c r="W22" i="3"/>
  <c r="X22" i="3" s="1"/>
  <c r="Z22" i="3" s="1"/>
  <c r="W32" i="3"/>
  <c r="X32" i="3" s="1"/>
  <c r="Z32" i="3" s="1"/>
  <c r="W43" i="3"/>
  <c r="X43" i="3" s="1"/>
  <c r="Z43" i="3" s="1"/>
  <c r="W13" i="3"/>
  <c r="X13" i="3" s="1"/>
  <c r="Z13" i="3" s="1"/>
  <c r="W33" i="3"/>
  <c r="X33" i="3" s="1"/>
  <c r="Z33" i="3" s="1"/>
  <c r="W15" i="3"/>
  <c r="X15" i="3" s="1"/>
  <c r="Z15" i="3" s="1"/>
  <c r="W35" i="3"/>
  <c r="X35" i="3" s="1"/>
  <c r="Z35" i="3" s="1"/>
  <c r="W45" i="3"/>
  <c r="X45" i="3" s="1"/>
  <c r="Z45" i="3" s="1"/>
  <c r="W42" i="3"/>
  <c r="X42" i="3" s="1"/>
  <c r="Z42" i="3" s="1"/>
  <c r="W23" i="3"/>
  <c r="X23" i="3" s="1"/>
  <c r="Z23" i="3" s="1"/>
  <c r="W6" i="3"/>
  <c r="X6" i="3" s="1"/>
  <c r="Z6" i="3" s="1"/>
  <c r="W16" i="3"/>
  <c r="X16" i="3" s="1"/>
  <c r="Z16" i="3" s="1"/>
  <c r="W26" i="3"/>
  <c r="X26" i="3" s="1"/>
  <c r="Z26" i="3" s="1"/>
  <c r="W36" i="3"/>
  <c r="X36" i="3" s="1"/>
  <c r="Z36" i="3" s="1"/>
  <c r="W46" i="3"/>
  <c r="X46" i="3" s="1"/>
  <c r="Z46" i="3" s="1"/>
  <c r="W4" i="3"/>
  <c r="X4" i="3" s="1"/>
  <c r="Z4" i="3" s="1"/>
  <c r="W12" i="3"/>
  <c r="X12" i="3" s="1"/>
  <c r="Z12" i="3" s="1"/>
  <c r="W10" i="3"/>
  <c r="X10" i="3" s="1"/>
  <c r="Z10" i="3" s="1"/>
  <c r="P13" i="3"/>
  <c r="P9" i="3"/>
  <c r="P8" i="3"/>
  <c r="P7" i="3"/>
  <c r="P5" i="3"/>
  <c r="P11" i="3"/>
  <c r="P10" i="3"/>
  <c r="P6" i="3"/>
  <c r="P4" i="3"/>
  <c r="P48" i="3"/>
  <c r="P12" i="3"/>
  <c r="B18" i="6"/>
  <c r="C18" i="6"/>
  <c r="B28" i="5"/>
  <c r="I16" i="5"/>
  <c r="J16" i="5" s="1"/>
  <c r="I14" i="5"/>
  <c r="J14" i="5" s="1"/>
  <c r="I12" i="5"/>
  <c r="J12" i="5" s="1"/>
  <c r="I13" i="5"/>
  <c r="J13" i="5" s="1"/>
  <c r="I11" i="5"/>
  <c r="J11" i="5" s="1"/>
  <c r="I10" i="5"/>
  <c r="J10" i="5" s="1"/>
  <c r="I15" i="5"/>
  <c r="J15" i="5" s="1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9" i="3"/>
  <c r="P50" i="3"/>
  <c r="P51" i="3"/>
  <c r="M8" i="3"/>
  <c r="B24" i="5"/>
  <c r="B33" i="5"/>
  <c r="M4" i="3"/>
  <c r="M48" i="3"/>
  <c r="M13" i="3"/>
  <c r="M12" i="3"/>
  <c r="M11" i="3"/>
  <c r="M10" i="3"/>
  <c r="M9" i="3"/>
  <c r="M6" i="3"/>
  <c r="M5" i="3"/>
  <c r="I3" i="2"/>
  <c r="J4" i="2"/>
  <c r="H5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K17" i="1"/>
  <c r="K21" i="1"/>
  <c r="K25" i="1"/>
  <c r="K31" i="1"/>
  <c r="K35" i="1"/>
  <c r="K39" i="1"/>
  <c r="K40" i="1"/>
  <c r="K43" i="1"/>
  <c r="K45" i="1"/>
  <c r="K49" i="1"/>
  <c r="K13" i="1"/>
  <c r="K41" i="1"/>
  <c r="K14" i="1"/>
  <c r="K42" i="1"/>
  <c r="K19" i="1"/>
  <c r="K33" i="1"/>
  <c r="K47" i="1"/>
  <c r="K7" i="1"/>
  <c r="K20" i="1"/>
  <c r="K34" i="1"/>
  <c r="K48" i="1"/>
  <c r="K46" i="1"/>
  <c r="K6" i="1"/>
  <c r="K5" i="1"/>
  <c r="K22" i="1"/>
  <c r="K36" i="1"/>
  <c r="K50" i="1"/>
  <c r="K18" i="1"/>
  <c r="K4" i="1"/>
  <c r="K51" i="1"/>
  <c r="K44" i="1"/>
  <c r="K32" i="1"/>
  <c r="K10" i="1"/>
  <c r="K24" i="1"/>
  <c r="K38" i="1"/>
  <c r="S26" i="13" l="1"/>
  <c r="E26" i="13"/>
  <c r="M26" i="13"/>
  <c r="N26" i="13"/>
  <c r="S25" i="13"/>
  <c r="E25" i="13"/>
  <c r="M25" i="13"/>
  <c r="N25" i="13"/>
  <c r="S24" i="13"/>
  <c r="E24" i="13"/>
  <c r="M24" i="13"/>
  <c r="N24" i="13"/>
  <c r="S23" i="13"/>
  <c r="M23" i="13"/>
  <c r="N23" i="13"/>
  <c r="E23" i="13"/>
  <c r="S22" i="13"/>
  <c r="E22" i="13"/>
  <c r="M22" i="13"/>
  <c r="N22" i="13"/>
  <c r="S21" i="13"/>
  <c r="E21" i="13"/>
  <c r="N21" i="13"/>
  <c r="M21" i="13"/>
  <c r="S20" i="13"/>
  <c r="M20" i="13"/>
  <c r="E20" i="13"/>
  <c r="N20" i="13"/>
  <c r="J25" i="13"/>
  <c r="K25" i="13"/>
  <c r="L25" i="13"/>
  <c r="J20" i="13"/>
  <c r="L20" i="13"/>
  <c r="K20" i="13"/>
  <c r="J26" i="13"/>
  <c r="K26" i="13"/>
  <c r="L26" i="13"/>
  <c r="J21" i="13"/>
  <c r="L21" i="13"/>
  <c r="K21" i="13"/>
  <c r="J22" i="13"/>
  <c r="K22" i="13"/>
  <c r="L22" i="13"/>
  <c r="L23" i="13"/>
  <c r="J23" i="13"/>
  <c r="K23" i="13"/>
  <c r="J24" i="13"/>
  <c r="L24" i="13"/>
  <c r="K24" i="13"/>
  <c r="N11" i="6"/>
  <c r="Q8" i="6"/>
  <c r="P11" i="6" s="1"/>
  <c r="M7" i="3"/>
  <c r="B20" i="6"/>
  <c r="M50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9" i="3"/>
  <c r="M51" i="3"/>
  <c r="B34" i="5"/>
  <c r="B35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Jara</author>
  </authors>
  <commentList>
    <comment ref="G1" authorId="0" shapeId="0" xr:uid="{7FEA2E03-5B4C-B348-A383-F33BB046D935}">
      <text>
        <r>
          <rPr>
            <b/>
            <sz val="10"/>
            <color rgb="FF000000"/>
            <rFont val="Tahoma"/>
            <family val="2"/>
          </rPr>
          <t>Jara: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Corrected by 18.2 initial glucose instead of 20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Jara</author>
  </authors>
  <commentList>
    <comment ref="K2" authorId="0" shapeId="0" xr:uid="{88EDCEED-6AEE-E444-8440-2CA10331496A}">
      <text>
        <r>
          <rPr>
            <b/>
            <sz val="10"/>
            <color rgb="FF000000"/>
            <rFont val="Tahoma"/>
            <family val="2"/>
          </rPr>
          <t>Jara: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Corrected by 18.2 initial glucose instead of 20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O26" authorId="0" shapeId="0" xr:uid="{28AA4277-DAF8-3C41-A20F-2BC36BBCEDBA}">
      <text>
        <r>
          <rPr>
            <sz val="10"/>
            <color rgb="FF000000"/>
            <rFont val="Arial"/>
            <family val="2"/>
          </rPr>
          <t>No continuous mat had formed at day 7 in the 126-mL culture (Supplementary Figure S3)</t>
        </r>
      </text>
    </comment>
  </commentList>
</comments>
</file>

<file path=xl/sharedStrings.xml><?xml version="1.0" encoding="utf-8"?>
<sst xmlns="http://schemas.openxmlformats.org/spreadsheetml/2006/main" count="271" uniqueCount="216">
  <si>
    <t>Biomass concentration</t>
  </si>
  <si>
    <t>Volumetric productivity of biomass</t>
  </si>
  <si>
    <t>Total rate of substrate consumption</t>
  </si>
  <si>
    <t>Specific yield</t>
  </si>
  <si>
    <t>Volume (mL)</t>
  </si>
  <si>
    <t>Time (days)</t>
  </si>
  <si>
    <t>Hours</t>
  </si>
  <si>
    <t>Biomass (g)</t>
  </si>
  <si>
    <t>Glucose (gL-1)</t>
  </si>
  <si>
    <t>Qx (g.L-1.h-1)</t>
  </si>
  <si>
    <t>Qs (g.L-1.h-1)</t>
  </si>
  <si>
    <t>Ye (g.g-1)</t>
  </si>
  <si>
    <t>Substrate consumption</t>
  </si>
  <si>
    <t>Px (g.L-1)</t>
  </si>
  <si>
    <t>Yc %</t>
  </si>
  <si>
    <t>Time</t>
  </si>
  <si>
    <t>mean Biomass (g)</t>
  </si>
  <si>
    <t>mean_Conc</t>
  </si>
  <si>
    <t>mean_Abs</t>
  </si>
  <si>
    <t>pH</t>
  </si>
  <si>
    <r>
      <t>Glucose (gL</t>
    </r>
    <r>
      <rPr>
        <b/>
        <vertAlign val="superscript"/>
        <sz val="11"/>
        <color rgb="FF000000"/>
        <rFont val="Calibri"/>
        <family val="2"/>
      </rPr>
      <t>-1</t>
    </r>
    <r>
      <rPr>
        <b/>
        <sz val="11"/>
        <color rgb="FF000000"/>
        <rFont val="Calibri"/>
        <family val="2"/>
      </rPr>
      <t>)</t>
    </r>
  </si>
  <si>
    <r>
      <t>Cx (gL</t>
    </r>
    <r>
      <rPr>
        <b/>
        <vertAlign val="superscript"/>
        <sz val="11"/>
        <color rgb="FF000000"/>
        <rFont val="Calibri"/>
        <family val="2"/>
      </rPr>
      <t>-1</t>
    </r>
    <r>
      <rPr>
        <b/>
        <sz val="11"/>
        <color rgb="FF000000"/>
        <rFont val="Calibri"/>
        <family val="2"/>
      </rPr>
      <t>)</t>
    </r>
  </si>
  <si>
    <r>
      <t>Qx (gL</t>
    </r>
    <r>
      <rPr>
        <b/>
        <vertAlign val="superscript"/>
        <sz val="11"/>
        <color rgb="FF000000"/>
        <rFont val="Calibri"/>
        <family val="2"/>
      </rPr>
      <t>-1</t>
    </r>
    <r>
      <rPr>
        <b/>
        <sz val="11"/>
        <color rgb="FF000000"/>
        <rFont val="Calibri"/>
        <family val="2"/>
      </rPr>
      <t>h</t>
    </r>
    <r>
      <rPr>
        <b/>
        <vertAlign val="superscript"/>
        <sz val="11"/>
        <color rgb="FF000000"/>
        <rFont val="Calibri"/>
        <family val="2"/>
      </rPr>
      <t>-1</t>
    </r>
    <r>
      <rPr>
        <b/>
        <sz val="11"/>
        <color rgb="FF000000"/>
        <rFont val="Calibri"/>
        <family val="2"/>
      </rPr>
      <t>)</t>
    </r>
  </si>
  <si>
    <r>
      <t>Qs (gL</t>
    </r>
    <r>
      <rPr>
        <b/>
        <vertAlign val="superscript"/>
        <sz val="11"/>
        <color rgb="FF000000"/>
        <rFont val="Calibri"/>
        <family val="2"/>
      </rPr>
      <t>-1</t>
    </r>
    <r>
      <rPr>
        <b/>
        <sz val="11"/>
        <color rgb="FF000000"/>
        <rFont val="Calibri"/>
        <family val="2"/>
      </rPr>
      <t>h</t>
    </r>
    <r>
      <rPr>
        <b/>
        <vertAlign val="superscript"/>
        <sz val="11"/>
        <color rgb="FF000000"/>
        <rFont val="Calibri"/>
        <family val="2"/>
      </rPr>
      <t>-1</t>
    </r>
    <r>
      <rPr>
        <b/>
        <sz val="11"/>
        <color rgb="FF000000"/>
        <rFont val="Calibri"/>
        <family val="2"/>
      </rPr>
      <t>)</t>
    </r>
  </si>
  <si>
    <r>
      <t>Ye (gg</t>
    </r>
    <r>
      <rPr>
        <b/>
        <vertAlign val="superscript"/>
        <sz val="11"/>
        <color rgb="FF000000"/>
        <rFont val="Calibri"/>
        <family val="2"/>
      </rPr>
      <t>-1</t>
    </r>
    <r>
      <rPr>
        <b/>
        <sz val="11"/>
        <color rgb="FF000000"/>
        <rFont val="Calibri"/>
        <family val="2"/>
      </rPr>
      <t>)</t>
    </r>
  </si>
  <si>
    <t>Height</t>
  </si>
  <si>
    <t>Height (cm)</t>
  </si>
  <si>
    <t>Volume</t>
  </si>
  <si>
    <t>Glucose</t>
  </si>
  <si>
    <t>Cx</t>
  </si>
  <si>
    <t>Qx</t>
  </si>
  <si>
    <t>Qs</t>
  </si>
  <si>
    <t>Ye</t>
  </si>
  <si>
    <t>Full box (mm)</t>
  </si>
  <si>
    <t>Volume full box (m)</t>
  </si>
  <si>
    <t>Diameter base</t>
  </si>
  <si>
    <t>Radius base (m)</t>
  </si>
  <si>
    <t>Diameter top</t>
  </si>
  <si>
    <t>Radius top (m)</t>
  </si>
  <si>
    <t>Height (m)</t>
  </si>
  <si>
    <t>Volume (m^3)</t>
  </si>
  <si>
    <t>Conversion</t>
  </si>
  <si>
    <t>mL</t>
  </si>
  <si>
    <t>cm</t>
  </si>
  <si>
    <t>linear expected</t>
  </si>
  <si>
    <t>Measured (mm)</t>
  </si>
  <si>
    <t>Measured (cm)</t>
  </si>
  <si>
    <t>Difference</t>
  </si>
  <si>
    <t>Percentage</t>
  </si>
  <si>
    <t>From mL to cm height</t>
  </si>
  <si>
    <t>Radius at a given height</t>
  </si>
  <si>
    <t>Height_desired (m)</t>
  </si>
  <si>
    <t>Radius_bottom</t>
  </si>
  <si>
    <t>Radius_top</t>
  </si>
  <si>
    <t>Height_total (m)</t>
  </si>
  <si>
    <t>Radius_desired (m)</t>
  </si>
  <si>
    <t>Volume_desired (m3)</t>
  </si>
  <si>
    <t>Volume up to a given height</t>
  </si>
  <si>
    <t>Volume_desired (mL)</t>
  </si>
  <si>
    <t>Gray value</t>
  </si>
  <si>
    <t>Radius [m]</t>
  </si>
  <si>
    <t>Interfacial area concentration [cm2/mL]</t>
  </si>
  <si>
    <t>Volume (L)</t>
  </si>
  <si>
    <t>Radius (cm)</t>
  </si>
  <si>
    <t>Interfacial concentration (cm2/mL)</t>
  </si>
  <si>
    <t>LnGV</t>
  </si>
  <si>
    <t>Glucose/surface</t>
  </si>
  <si>
    <r>
      <t>Qs (gL</t>
    </r>
    <r>
      <rPr>
        <b/>
        <vertAlign val="superscript"/>
        <sz val="11"/>
        <color rgb="FF000000"/>
        <rFont val="Calibri"/>
        <family val="2"/>
      </rPr>
      <t>-1</t>
    </r>
    <r>
      <rPr>
        <b/>
        <sz val="11"/>
        <color rgb="FF000000"/>
        <rFont val="Calibri"/>
        <family val="2"/>
      </rPr>
      <t>h</t>
    </r>
    <r>
      <rPr>
        <b/>
        <vertAlign val="superscript"/>
        <sz val="11"/>
        <color rgb="FF000000"/>
        <rFont val="Calibri"/>
        <family val="2"/>
      </rPr>
      <t>-1</t>
    </r>
    <r>
      <rPr>
        <b/>
        <sz val="11"/>
        <color rgb="FF000000"/>
        <rFont val="Calibri"/>
        <family val="2"/>
      </rPr>
      <t>g-1)</t>
    </r>
  </si>
  <si>
    <t>Dry biomass (g)</t>
  </si>
  <si>
    <t>Glycerol Biomass (g)</t>
  </si>
  <si>
    <t>Fresh biomass (g)</t>
  </si>
  <si>
    <t>MAX</t>
  </si>
  <si>
    <t>Max</t>
  </si>
  <si>
    <t>Analytical max</t>
  </si>
  <si>
    <t>max</t>
  </si>
  <si>
    <t>-</t>
  </si>
  <si>
    <t>Maximum biomass (g)</t>
  </si>
  <si>
    <t>Correlations of biomass</t>
  </si>
  <si>
    <t>Interfacial concentration</t>
  </si>
  <si>
    <t>Glycerol BM (g)</t>
  </si>
  <si>
    <t>FBM</t>
  </si>
  <si>
    <t>GBM</t>
  </si>
  <si>
    <t>Surface (cm2)</t>
  </si>
  <si>
    <t>Glucose concentration per surface (g/cm2)</t>
  </si>
  <si>
    <t>Replicate</t>
  </si>
  <si>
    <t>epp</t>
  </si>
  <si>
    <t>epp+fresh</t>
  </si>
  <si>
    <t>epp+lyo</t>
  </si>
  <si>
    <t>Fbio</t>
  </si>
  <si>
    <t>Lbio</t>
  </si>
  <si>
    <t>Ratio</t>
  </si>
  <si>
    <t>I</t>
  </si>
  <si>
    <t>Inc_day</t>
  </si>
  <si>
    <t>Inoc volume</t>
  </si>
  <si>
    <t>Initial biomass</t>
  </si>
  <si>
    <t>mg</t>
  </si>
  <si>
    <t>g</t>
  </si>
  <si>
    <t>Delta biomass</t>
  </si>
  <si>
    <t>Delta glucose</t>
  </si>
  <si>
    <t>Biomass per L</t>
  </si>
  <si>
    <t>g/L glucose consumption per day</t>
  </si>
  <si>
    <t>Pellicle surface</t>
  </si>
  <si>
    <t>g/L/day</t>
  </si>
  <si>
    <t>m2</t>
  </si>
  <si>
    <t>g/m2/h</t>
  </si>
  <si>
    <t>g/L glucose consumption per day per m2</t>
  </si>
  <si>
    <t>g/m2/day</t>
  </si>
  <si>
    <t>g/L glucose consumption per m2 per h</t>
  </si>
  <si>
    <t>Glucose load (g m⁻²)</t>
  </si>
  <si>
    <t>Consumption per surface (g m⁻² d⁻¹)</t>
  </si>
  <si>
    <t>SIA (cm-1)</t>
  </si>
  <si>
    <t>Glucose concentration (g/L)</t>
  </si>
  <si>
    <t>Glucose concentration (g/mL)</t>
  </si>
  <si>
    <t>Glucose concentration at day 7 (g/L)</t>
  </si>
  <si>
    <t>Initial total glucose (g)</t>
  </si>
  <si>
    <t>Consumed glucose at day 7 (g)</t>
  </si>
  <si>
    <t>Remaining glucose at day 7</t>
  </si>
  <si>
    <t>Consumption per surface at day 7 (g m⁻²)</t>
  </si>
  <si>
    <t>glucose available per vertical column (g)</t>
  </si>
  <si>
    <t>Glucose consumed at day 7 (g/L)</t>
  </si>
  <si>
    <t>Culture geometry</t>
  </si>
  <si>
    <t>Glucose supply</t>
  </si>
  <si>
    <t>Days 0–7</t>
  </si>
  <si>
    <t>After day 7</t>
  </si>
  <si>
    <t>Biomass, days 7–14</t>
  </si>
  <si>
    <t>Culture volume
V (mL)</t>
  </si>
  <si>
    <t>Liquid-surface radius
r (cm)</t>
  </si>
  <si>
    <t>Liquid height
h (cm)</t>
  </si>
  <si>
    <t>Interfacial area
A (cm²)</t>
  </si>
  <si>
    <t>SIA
A/V (cm⁻¹)</t>
  </si>
  <si>
    <t>Initial glucose
per vessel (g)</t>
  </si>
  <si>
    <t>Glucose load per
interface (g m⁻²)</t>
  </si>
  <si>
    <t>Residual reducing
sugars, day 7
S₇ (g L⁻¹)</t>
  </si>
  <si>
    <t>Glucose consumed
by day 7 (g L⁻¹)</t>
  </si>
  <si>
    <t>Fraction consumed
by day 7 (%)</t>
  </si>
  <si>
    <t>Mean volumetric
uptake, days 0–7
(g L⁻¹ d⁻¹)</t>
  </si>
  <si>
    <t>Absolute uptake
by day 7
(g vessel⁻¹)</t>
  </si>
  <si>
    <t>Glucose remaining
per interface,
day 7 (g m⁻²)</t>
  </si>
  <si>
    <t>Uptake per
interface after
day 7 (g m⁻² d⁻¹)</t>
  </si>
  <si>
    <t>Fresh biomass,
day 7 (g)</t>
  </si>
  <si>
    <t>Fresh biomass,
day 14 (g)</t>
  </si>
  <si>
    <t>Dry biomass,
day 7 (g)</t>
  </si>
  <si>
    <t>Dry biomass,
day 14 (g)</t>
  </si>
  <si>
    <t>Δ dry biomass per
interface, days 7–14
(g m⁻²)</t>
  </si>
  <si>
    <t>input</t>
  </si>
  <si>
    <t>r = (r₀³ + 3kV/π)^(1/3)</t>
  </si>
  <si>
    <t>h = (r − r₀)/k</t>
  </si>
  <si>
    <t>A = πr²</t>
  </si>
  <si>
    <t>A / V</t>
  </si>
  <si>
    <t>S₀·V / 1000</t>
  </si>
  <si>
    <t>S₀·V / A</t>
  </si>
  <si>
    <t>S₀ − S₇</t>
  </si>
  <si>
    <t>(S₀ − S₇) / S₀</t>
  </si>
  <si>
    <t>(S₀ − S₇) / t₁</t>
  </si>
  <si>
    <t>(S₀ − S₇)·V / 1000</t>
  </si>
  <si>
    <t>S₇·V / A</t>
  </si>
  <si>
    <t>β₁·V / A</t>
  </si>
  <si>
    <t>FBM₇ · f</t>
  </si>
  <si>
    <t>FBM₁₄ · f</t>
  </si>
  <si>
    <t>(DBM₁₄ − DBM₇) / A</t>
  </si>
  <si>
    <t>Supplementary Table S2. Culture geometry, glucose supply and glucose uptake per unit interfacial area across culture volumes (Experiment 1).</t>
  </si>
  <si>
    <t>Liquid-surface (interfacial) area, specific interfacial area (SIA), glucose load, glucose uptake during the first 7 days and after day 7, glucose remaining at day 7 and the change in estimated dry biomass between days 7 and 14, for each culture volume (inoculum:medium 1:5, v/v; static incubation at 28 °C). Blue values are measured inputs or fixed parameters; black values are calculated from them by the formula shown in row 19.</t>
  </si>
  <si>
    <t>Parameters</t>
  </si>
  <si>
    <t>Parameter</t>
  </si>
  <si>
    <t>Symbol</t>
  </si>
  <si>
    <t>Value</t>
  </si>
  <si>
    <t>Unit</t>
  </si>
  <si>
    <t>Source / note</t>
  </si>
  <si>
    <t>Glucose monohydrate in CYM</t>
  </si>
  <si>
    <t>c(G·H₂O)</t>
  </si>
  <si>
    <t>g L⁻¹</t>
  </si>
  <si>
    <t>Methods 2.1 (2 % D-glucose monohydrate)</t>
  </si>
  <si>
    <t>Molar mass, anhydrous glucose</t>
  </si>
  <si>
    <t>M(G)</t>
  </si>
  <si>
    <t>g mol⁻¹</t>
  </si>
  <si>
    <t>C₆H₁₂O₆</t>
  </si>
  <si>
    <t>Molar mass, glucose monohydrate</t>
  </si>
  <si>
    <t>M(G·H₂O)</t>
  </si>
  <si>
    <t>C₆H₁₂O₆·H₂O</t>
  </si>
  <si>
    <t>Initial glucose concentration (anhydrous)</t>
  </si>
  <si>
    <t>S₀</t>
  </si>
  <si>
    <t>S₀ = c(G·H₂O) × M(G) / M(G·H₂O); applied to the whole culture volume</t>
  </si>
  <si>
    <t>First harvest time</t>
  </si>
  <si>
    <t>t₁</t>
  </si>
  <si>
    <t>d</t>
  </si>
  <si>
    <t>Results 3.3</t>
  </si>
  <si>
    <t>Last harvest time</t>
  </si>
  <si>
    <t>t₂</t>
  </si>
  <si>
    <t>Volumetric glucose uptake rate after day 7</t>
  </si>
  <si>
    <t>β₁</t>
  </si>
  <si>
    <t>g L⁻¹ d⁻¹</t>
  </si>
  <si>
    <t>Absolute value of the time coefficient of Equation 2 (−0.988 ± 0.073 g L⁻¹ d⁻¹)</t>
  </si>
  <si>
    <t>Fresh-to-dry biomass conversion factor</t>
  </si>
  <si>
    <t>f</t>
  </si>
  <si>
    <t>g g⁻¹</t>
  </si>
  <si>
    <t>Regression through the origin, lyophilised vs fresh biomass (R² = 0.97, n = 22)</t>
  </si>
  <si>
    <t>Vessel inner radius at the base</t>
  </si>
  <si>
    <t>r₀</t>
  </si>
  <si>
    <t>Microbox modelled as a truncated cone; see note a</t>
  </si>
  <si>
    <t>Wall flare (radius increase per cm height)</t>
  </si>
  <si>
    <t>k</t>
  </si>
  <si>
    <t>cm cm⁻¹</t>
  </si>
  <si>
    <t>Notes</t>
  </si>
  <si>
    <t>a  Interfacial area. Each microbox is treated as a truncated cone with inner base radius r₀ and wall flare k. Integrating the cone gives V = π[(r₀ + kh)³ − r₀³]/(3k), so the liquid-surface radius at volume V is r = (r₀³ + 3kV/π)^(1/3), the liquid height is h = (r − r₀)/k and the interfacial area is A = πr². r₀ and k were back-calculated from the interfacial areas used in the analysis script (Exp1.Rmd: 49.43–51.90 cm²), which they reproduce to two decimals; replace them with measured vessel dimensions if available.</t>
  </si>
  <si>
    <t>b  S₀ is the anhydrous-glucose equivalent of 20 g L⁻¹ glucose monohydrate and is applied to the whole culture volume (medium + inoculum).</t>
  </si>
  <si>
    <t>c  S₇: mean residual reducing-sugar concentration at day 7 (DNS assay, three technical replicates; anhydrous glucose standards). All day-7 values are above the detection limit (0.8 g L⁻¹).</t>
  </si>
  <si>
    <t>d  Uptake after day 7 uses the common volumetric rate β₁ from Equation 2, fitted on time points up to and including the first value below 1 g L⁻¹ per volume; the Time × Volume interaction was not significant (p = 0.74).</t>
  </si>
  <si>
    <t>e  Dry biomass is estimated from fresh pellicle biomass with the conversion factor f. A negative Δ indicates net biomass loss between days 7 and 14.</t>
  </si>
  <si>
    <t>f  Unit conversions: mL → L (÷ 1000); cm² → m² (÷ 10 000).</t>
  </si>
  <si>
    <t>Estimated dry
biomass (g)</t>
  </si>
  <si>
    <t>Fresh biomass
(g)</t>
  </si>
  <si>
    <r>
      <t>Glucose
(gL</t>
    </r>
    <r>
      <rPr>
        <b/>
        <vertAlign val="superscript"/>
        <sz val="11"/>
        <color rgb="FF000000"/>
        <rFont val="Calibri"/>
        <family val="2"/>
      </rPr>
      <t>-1</t>
    </r>
    <r>
      <rPr>
        <b/>
        <sz val="11"/>
        <color rgb="FF000000"/>
        <rFont val="Calibri"/>
        <family val="2"/>
      </rPr>
      <t>)</t>
    </r>
  </si>
  <si>
    <r>
      <t>Cx
(gL</t>
    </r>
    <r>
      <rPr>
        <b/>
        <vertAlign val="superscript"/>
        <sz val="11"/>
        <color rgb="FF000000"/>
        <rFont val="Calibri"/>
        <family val="2"/>
      </rPr>
      <t>-1</t>
    </r>
    <r>
      <rPr>
        <b/>
        <sz val="11"/>
        <color rgb="FF000000"/>
        <rFont val="Calibri"/>
        <family val="2"/>
      </rPr>
      <t>)</t>
    </r>
  </si>
  <si>
    <r>
      <t>Qx
(gL</t>
    </r>
    <r>
      <rPr>
        <b/>
        <vertAlign val="superscript"/>
        <sz val="11"/>
        <color rgb="FF000000"/>
        <rFont val="Calibri"/>
        <family val="2"/>
      </rPr>
      <t>-1</t>
    </r>
    <r>
      <rPr>
        <b/>
        <sz val="11"/>
        <color rgb="FF000000"/>
        <rFont val="Calibri"/>
        <family val="2"/>
      </rPr>
      <t>h</t>
    </r>
    <r>
      <rPr>
        <b/>
        <vertAlign val="superscript"/>
        <sz val="11"/>
        <color rgb="FF000000"/>
        <rFont val="Calibri"/>
        <family val="2"/>
      </rPr>
      <t>-1</t>
    </r>
    <r>
      <rPr>
        <b/>
        <sz val="11"/>
        <color rgb="FF000000"/>
        <rFont val="Calibri"/>
        <family val="2"/>
      </rPr>
      <t>)</t>
    </r>
  </si>
  <si>
    <r>
      <t>Qs
(gL</t>
    </r>
    <r>
      <rPr>
        <b/>
        <vertAlign val="superscript"/>
        <sz val="11"/>
        <color rgb="FF000000"/>
        <rFont val="Calibri"/>
        <family val="2"/>
      </rPr>
      <t>-1</t>
    </r>
    <r>
      <rPr>
        <b/>
        <sz val="11"/>
        <color rgb="FF000000"/>
        <rFont val="Calibri"/>
        <family val="2"/>
      </rPr>
      <t>h</t>
    </r>
    <r>
      <rPr>
        <b/>
        <vertAlign val="superscript"/>
        <sz val="11"/>
        <color rgb="FF000000"/>
        <rFont val="Calibri"/>
        <family val="2"/>
      </rPr>
      <t>-1</t>
    </r>
    <r>
      <rPr>
        <b/>
        <sz val="11"/>
        <color rgb="FF000000"/>
        <rFont val="Calibri"/>
        <family val="2"/>
      </rPr>
      <t>)</t>
    </r>
  </si>
  <si>
    <r>
      <t>Ye
(gg</t>
    </r>
    <r>
      <rPr>
        <b/>
        <vertAlign val="superscript"/>
        <sz val="11"/>
        <color rgb="FF000000"/>
        <rFont val="Calibri"/>
        <family val="2"/>
      </rPr>
      <t>-1</t>
    </r>
    <r>
      <rPr>
        <b/>
        <sz val="11"/>
        <color rgb="FF000000"/>
        <rFont val="Calibri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</si>
</sst>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00000"/>
    <numFmt numFmtId="171" formatCode="0.0"/>
    <numFmt numFmtId="179" formatCode="0.0%"/>
  </numFmts>
  <fonts count="2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vertAlign val="superscript"/>
      <sz val="11"/>
      <color rgb="FF000000"/>
      <name val="Calibri"/>
      <family val="2"/>
    </font>
    <font>
      <sz val="12"/>
      <color rgb="FF3F3F76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1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9"/>
      <color rgb="FF000000"/>
      <name val="Arial"/>
      <family val="2"/>
    </font>
    <font>
      <i/>
      <sz val="8"/>
      <color rgb="FF555555"/>
      <name val="Arial"/>
      <family val="2"/>
    </font>
    <font>
      <sz val="9"/>
      <color rgb="FF0000FF"/>
      <name val="Arial"/>
      <family val="2"/>
    </font>
    <font>
      <sz val="9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FF"/>
        <bgColor rgb="FF000000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1"/>
        <bgColor indexed="64"/>
      </patternFill>
    </fill>
    <fill>
      <patternFill patternType="solid">
        <fgColor rgb="FFEDEDED"/>
        <bgColor rgb="FFFFFFCC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hair">
        <color rgb="FF999999"/>
      </bottom>
      <diagonal/>
    </border>
  </borders>
  <cellStyleXfs count="7">
    <xf numFmtId="0" fontId="0" fillId="0" borderId="0"/>
    <xf numFmtId="9" fontId="3" fillId="0" borderId="0" applyFont="0" applyFill="0" applyBorder="0" applyAlignment="0" applyProtection="0"/>
    <xf numFmtId="0" fontId="8" fillId="8" borderId="0" applyNumberFormat="0" applyBorder="0" applyAlignment="0" applyProtection="0"/>
    <xf numFmtId="0" fontId="9" fillId="9" borderId="0" applyNumberFormat="0" applyBorder="0" applyAlignment="0" applyProtection="0"/>
    <xf numFmtId="0" fontId="11" fillId="11" borderId="12" applyNumberFormat="0" applyAlignment="0" applyProtection="0"/>
    <xf numFmtId="0" fontId="3" fillId="12" borderId="13" applyNumberFormat="0" applyFont="0" applyAlignment="0" applyProtection="0"/>
    <xf numFmtId="0" fontId="2" fillId="0" borderId="0"/>
  </cellStyleXfs>
  <cellXfs count="108">
    <xf numFmtId="0" fontId="0" fillId="0" borderId="0" xfId="0"/>
    <xf numFmtId="0" fontId="0" fillId="2" borderId="0" xfId="0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2" fontId="7" fillId="3" borderId="2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/>
    </xf>
    <xf numFmtId="2" fontId="5" fillId="2" borderId="0" xfId="0" applyNumberFormat="1" applyFont="1" applyFill="1" applyAlignment="1">
      <alignment horizontal="center"/>
    </xf>
    <xf numFmtId="2" fontId="5" fillId="3" borderId="0" xfId="0" applyNumberFormat="1" applyFont="1" applyFill="1" applyAlignment="1">
      <alignment horizontal="center"/>
    </xf>
    <xf numFmtId="0" fontId="5" fillId="2" borderId="8" xfId="0" applyFont="1" applyFill="1" applyBorder="1" applyAlignment="1">
      <alignment horizontal="center"/>
    </xf>
    <xf numFmtId="2" fontId="7" fillId="4" borderId="2" xfId="0" applyNumberFormat="1" applyFont="1" applyFill="1" applyBorder="1" applyAlignment="1">
      <alignment horizontal="center" vertical="center" wrapText="1"/>
    </xf>
    <xf numFmtId="2" fontId="5" fillId="4" borderId="0" xfId="0" applyNumberFormat="1" applyFont="1" applyFill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 vertical="center" wrapText="1"/>
    </xf>
    <xf numFmtId="2" fontId="5" fillId="5" borderId="0" xfId="0" applyNumberFormat="1" applyFont="1" applyFill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2" fontId="0" fillId="6" borderId="0" xfId="0" applyNumberFormat="1" applyFill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2" fontId="0" fillId="7" borderId="7" xfId="1" applyNumberFormat="1" applyFont="1" applyFill="1" applyBorder="1" applyAlignment="1">
      <alignment horizontal="center"/>
    </xf>
    <xf numFmtId="2" fontId="0" fillId="7" borderId="9" xfId="1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2" fontId="5" fillId="2" borderId="7" xfId="0" applyNumberFormat="1" applyFont="1" applyFill="1" applyBorder="1" applyAlignment="1">
      <alignment horizontal="center"/>
    </xf>
    <xf numFmtId="2" fontId="5" fillId="2" borderId="9" xfId="0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8" fillId="8" borderId="5" xfId="2" applyBorder="1" applyAlignment="1">
      <alignment horizontal="center"/>
    </xf>
    <xf numFmtId="0" fontId="9" fillId="9" borderId="2" xfId="3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2" fontId="5" fillId="2" borderId="3" xfId="0" applyNumberFormat="1" applyFont="1" applyFill="1" applyBorder="1" applyAlignment="1">
      <alignment horizontal="center"/>
    </xf>
    <xf numFmtId="2" fontId="5" fillId="2" borderId="11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 wrapText="1"/>
    </xf>
    <xf numFmtId="0" fontId="5" fillId="10" borderId="0" xfId="0" applyFont="1" applyFill="1" applyAlignment="1">
      <alignment horizontal="center"/>
    </xf>
    <xf numFmtId="2" fontId="0" fillId="0" borderId="0" xfId="0" applyNumberFormat="1"/>
    <xf numFmtId="2" fontId="0" fillId="0" borderId="1" xfId="0" applyNumberFormat="1" applyBorder="1" applyAlignment="1">
      <alignment horizontal="center"/>
    </xf>
    <xf numFmtId="0" fontId="13" fillId="13" borderId="0" xfId="0" applyFont="1" applyFill="1"/>
    <xf numFmtId="0" fontId="12" fillId="13" borderId="0" xfId="0" applyFont="1" applyFill="1"/>
    <xf numFmtId="0" fontId="11" fillId="11" borderId="12" xfId="4"/>
    <xf numFmtId="0" fontId="0" fillId="0" borderId="0" xfId="0" quotePrefix="1"/>
    <xf numFmtId="0" fontId="0" fillId="12" borderId="13" xfId="5" applyFont="1"/>
    <xf numFmtId="0" fontId="11" fillId="11" borderId="12" xfId="4" quotePrefix="1"/>
    <xf numFmtId="0" fontId="6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14" fillId="0" borderId="1" xfId="0" applyFont="1" applyBorder="1"/>
    <xf numFmtId="164" fontId="0" fillId="0" borderId="0" xfId="0" applyNumberFormat="1"/>
    <xf numFmtId="2" fontId="0" fillId="0" borderId="3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14" fillId="0" borderId="1" xfId="0" applyFont="1" applyBorder="1" applyAlignment="1">
      <alignment horizontal="center" vertical="center"/>
    </xf>
    <xf numFmtId="165" fontId="5" fillId="2" borderId="0" xfId="0" applyNumberFormat="1" applyFont="1" applyFill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165" fontId="5" fillId="2" borderId="3" xfId="0" applyNumberFormat="1" applyFont="1" applyFill="1" applyBorder="1" applyAlignment="1">
      <alignment horizontal="center"/>
    </xf>
    <xf numFmtId="0" fontId="2" fillId="0" borderId="0" xfId="6"/>
    <xf numFmtId="0" fontId="8" fillId="8" borderId="0" xfId="2"/>
    <xf numFmtId="0" fontId="1" fillId="0" borderId="0" xfId="6" applyFont="1"/>
    <xf numFmtId="164" fontId="0" fillId="2" borderId="0" xfId="0" applyNumberFormat="1" applyFill="1" applyAlignment="1">
      <alignment horizontal="center"/>
    </xf>
    <xf numFmtId="166" fontId="0" fillId="0" borderId="0" xfId="0" applyNumberFormat="1" applyAlignment="1">
      <alignment horizontal="right"/>
    </xf>
    <xf numFmtId="2" fontId="5" fillId="2" borderId="14" xfId="0" applyNumberFormat="1" applyFont="1" applyFill="1" applyBorder="1" applyAlignment="1">
      <alignment horizontal="center"/>
    </xf>
    <xf numFmtId="2" fontId="5" fillId="2" borderId="15" xfId="0" applyNumberFormat="1" applyFont="1" applyFill="1" applyBorder="1" applyAlignment="1">
      <alignment horizontal="center"/>
    </xf>
    <xf numFmtId="2" fontId="5" fillId="2" borderId="16" xfId="0" applyNumberFormat="1" applyFont="1" applyFill="1" applyBorder="1" applyAlignment="1">
      <alignment horizontal="center"/>
    </xf>
    <xf numFmtId="0" fontId="4" fillId="0" borderId="0" xfId="0" applyFont="1"/>
    <xf numFmtId="0" fontId="14" fillId="0" borderId="0" xfId="0" applyFont="1" applyFill="1" applyBorder="1"/>
    <xf numFmtId="0" fontId="0" fillId="0" borderId="0" xfId="0" applyAlignment="1">
      <alignment wrapText="1"/>
    </xf>
    <xf numFmtId="1" fontId="0" fillId="0" borderId="0" xfId="0" applyNumberFormat="1" applyAlignment="1">
      <alignment horizontal="center"/>
    </xf>
    <xf numFmtId="165" fontId="0" fillId="0" borderId="0" xfId="0" applyNumberFormat="1"/>
    <xf numFmtId="171" fontId="0" fillId="0" borderId="0" xfId="0" applyNumberFormat="1"/>
    <xf numFmtId="0" fontId="17" fillId="14" borderId="2" xfId="0" applyFont="1" applyFill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" fontId="19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1" fontId="20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/>
    </xf>
    <xf numFmtId="179" fontId="20" fillId="0" borderId="0" xfId="0" applyNumberFormat="1" applyFont="1" applyAlignment="1">
      <alignment horizontal="center"/>
    </xf>
    <xf numFmtId="171" fontId="20" fillId="0" borderId="0" xfId="0" applyNumberFormat="1" applyFont="1" applyAlignment="1">
      <alignment horizontal="center"/>
    </xf>
    <xf numFmtId="1" fontId="19" fillId="0" borderId="1" xfId="0" applyNumberFormat="1" applyFont="1" applyBorder="1" applyAlignment="1">
      <alignment horizontal="center"/>
    </xf>
    <xf numFmtId="165" fontId="20" fillId="0" borderId="1" xfId="0" applyNumberFormat="1" applyFont="1" applyBorder="1" applyAlignment="1">
      <alignment horizontal="center"/>
    </xf>
    <xf numFmtId="2" fontId="20" fillId="0" borderId="1" xfId="0" applyNumberFormat="1" applyFont="1" applyBorder="1" applyAlignment="1">
      <alignment horizontal="center"/>
    </xf>
    <xf numFmtId="1" fontId="20" fillId="0" borderId="1" xfId="0" applyNumberFormat="1" applyFont="1" applyBorder="1" applyAlignment="1">
      <alignment horizontal="center"/>
    </xf>
    <xf numFmtId="2" fontId="19" fillId="0" borderId="1" xfId="0" applyNumberFormat="1" applyFont="1" applyBorder="1" applyAlignment="1">
      <alignment horizontal="center"/>
    </xf>
    <xf numFmtId="179" fontId="20" fillId="0" borderId="1" xfId="0" applyNumberFormat="1" applyFont="1" applyBorder="1" applyAlignment="1">
      <alignment horizontal="center"/>
    </xf>
    <xf numFmtId="171" fontId="20" fillId="0" borderId="1" xfId="0" applyNumberFormat="1" applyFont="1" applyBorder="1" applyAlignment="1">
      <alignment horizontal="center"/>
    </xf>
    <xf numFmtId="0" fontId="21" fillId="0" borderId="0" xfId="0" applyFont="1"/>
    <xf numFmtId="0" fontId="20" fillId="0" borderId="0" xfId="0" applyFont="1" applyAlignment="1">
      <alignment vertical="top" wrapText="1"/>
    </xf>
    <xf numFmtId="0" fontId="22" fillId="0" borderId="0" xfId="0" applyFont="1"/>
    <xf numFmtId="0" fontId="17" fillId="14" borderId="2" xfId="0" applyFont="1" applyFill="1" applyBorder="1"/>
    <xf numFmtId="0" fontId="20" fillId="0" borderId="17" xfId="0" applyFont="1" applyBorder="1" applyAlignment="1">
      <alignment vertical="top"/>
    </xf>
    <xf numFmtId="0" fontId="19" fillId="0" borderId="17" xfId="0" applyFont="1" applyBorder="1" applyAlignment="1">
      <alignment vertical="top"/>
    </xf>
    <xf numFmtId="0" fontId="20" fillId="0" borderId="17" xfId="0" applyFont="1" applyBorder="1" applyAlignment="1">
      <alignment vertical="top" wrapText="1"/>
    </xf>
    <xf numFmtId="2" fontId="20" fillId="0" borderId="17" xfId="0" applyNumberFormat="1" applyFont="1" applyBorder="1" applyAlignment="1">
      <alignment vertical="top"/>
    </xf>
    <xf numFmtId="165" fontId="19" fillId="0" borderId="17" xfId="0" applyNumberFormat="1" applyFont="1" applyBorder="1" applyAlignment="1">
      <alignment vertical="top"/>
    </xf>
    <xf numFmtId="164" fontId="19" fillId="0" borderId="17" xfId="0" applyNumberFormat="1" applyFont="1" applyBorder="1" applyAlignment="1">
      <alignment vertical="top"/>
    </xf>
    <xf numFmtId="166" fontId="19" fillId="0" borderId="17" xfId="0" applyNumberFormat="1" applyFont="1" applyBorder="1" applyAlignment="1">
      <alignment vertical="top"/>
    </xf>
    <xf numFmtId="0" fontId="17" fillId="0" borderId="0" xfId="0" applyFont="1" applyAlignment="1">
      <alignment vertical="top" wrapText="1"/>
    </xf>
    <xf numFmtId="0" fontId="17" fillId="14" borderId="4" xfId="0" applyFont="1" applyFill="1" applyBorder="1" applyAlignment="1">
      <alignment horizontal="center" vertical="center" wrapText="1"/>
    </xf>
    <xf numFmtId="0" fontId="17" fillId="14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top" wrapText="1"/>
    </xf>
  </cellXfs>
  <cellStyles count="7">
    <cellStyle name="Bad" xfId="2" builtinId="27"/>
    <cellStyle name="Input" xfId="4" builtinId="20"/>
    <cellStyle name="Neutral" xfId="3" builtinId="28"/>
    <cellStyle name="Normal" xfId="0" builtinId="0"/>
    <cellStyle name="Normal 2" xfId="6" xr:uid="{1B2C9CD6-4701-7741-A06A-BC72C451C7B3}"/>
    <cellStyle name="Note" xfId="5" builtinId="10"/>
    <cellStyle name="Percent" xfId="1" builtinId="5"/>
  </cellStyles>
  <dxfs count="0"/>
  <tableStyles count="0" defaultTableStyle="TableStyleMedium2" defaultPivotStyle="PivotStyleLight16"/>
  <colors>
    <mruColors>
      <color rgb="FF54BE86"/>
      <color rgb="FF60BEA7"/>
      <color rgb="FF61B5BE"/>
      <color rgb="FF60B4BE"/>
      <color rgb="FF5CA8CA"/>
      <color rgb="FF57BEB1"/>
      <color rgb="FF69ACC9"/>
      <color rgb="FFD9688D"/>
      <color rgb="FFFF7AA4"/>
      <color rgb="FF60BB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'3 - fresh to lyo'!$F$2:$F$28</c:f>
              <c:numCache>
                <c:formatCode>General</c:formatCode>
                <c:ptCount val="27"/>
                <c:pt idx="0">
                  <c:v>237.29999999999995</c:v>
                </c:pt>
                <c:pt idx="1">
                  <c:v>308.29999999999995</c:v>
                </c:pt>
                <c:pt idx="2">
                  <c:v>408.20000000000005</c:v>
                </c:pt>
                <c:pt idx="3">
                  <c:v>432.79999999999995</c:v>
                </c:pt>
                <c:pt idx="4">
                  <c:v>526.5</c:v>
                </c:pt>
                <c:pt idx="5">
                  <c:v>574.59999999999991</c:v>
                </c:pt>
                <c:pt idx="6">
                  <c:v>665.1</c:v>
                </c:pt>
                <c:pt idx="7">
                  <c:v>668.8</c:v>
                </c:pt>
                <c:pt idx="8">
                  <c:v>696.8</c:v>
                </c:pt>
                <c:pt idx="9">
                  <c:v>370.79999999999995</c:v>
                </c:pt>
                <c:pt idx="10">
                  <c:v>415.79999999999995</c:v>
                </c:pt>
                <c:pt idx="11">
                  <c:v>435.69999999999993</c:v>
                </c:pt>
                <c:pt idx="12">
                  <c:v>489</c:v>
                </c:pt>
                <c:pt idx="13">
                  <c:v>679.1</c:v>
                </c:pt>
                <c:pt idx="14">
                  <c:v>681.80000000000007</c:v>
                </c:pt>
                <c:pt idx="15">
                  <c:v>925.89999999999986</c:v>
                </c:pt>
                <c:pt idx="16">
                  <c:v>970.5</c:v>
                </c:pt>
                <c:pt idx="17">
                  <c:v>1139.3</c:v>
                </c:pt>
                <c:pt idx="18">
                  <c:v>675.7</c:v>
                </c:pt>
                <c:pt idx="19">
                  <c:v>706.4</c:v>
                </c:pt>
                <c:pt idx="20">
                  <c:v>762.6</c:v>
                </c:pt>
                <c:pt idx="21">
                  <c:v>852.89999999999986</c:v>
                </c:pt>
                <c:pt idx="22">
                  <c:v>958</c:v>
                </c:pt>
                <c:pt idx="23">
                  <c:v>964.3</c:v>
                </c:pt>
                <c:pt idx="24">
                  <c:v>1009.4000000000001</c:v>
                </c:pt>
                <c:pt idx="25">
                  <c:v>1280.6999999999998</c:v>
                </c:pt>
                <c:pt idx="26">
                  <c:v>1320.1999999999998</c:v>
                </c:pt>
              </c:numCache>
            </c:numRef>
          </c:xVal>
          <c:yVal>
            <c:numRef>
              <c:f>'3 - fresh to lyo'!$G$2:$G$28</c:f>
              <c:numCache>
                <c:formatCode>General</c:formatCode>
                <c:ptCount val="27"/>
                <c:pt idx="0">
                  <c:v>11.899999999999977</c:v>
                </c:pt>
                <c:pt idx="1">
                  <c:v>16.900000000000091</c:v>
                </c:pt>
                <c:pt idx="2">
                  <c:v>21.299999999999955</c:v>
                </c:pt>
                <c:pt idx="3">
                  <c:v>17.900000000000091</c:v>
                </c:pt>
                <c:pt idx="4">
                  <c:v>29</c:v>
                </c:pt>
                <c:pt idx="5">
                  <c:v>18.600000000000023</c:v>
                </c:pt>
                <c:pt idx="6">
                  <c:v>27.399999999999977</c:v>
                </c:pt>
                <c:pt idx="7">
                  <c:v>26.900000000000091</c:v>
                </c:pt>
                <c:pt idx="8">
                  <c:v>27.200000000000045</c:v>
                </c:pt>
                <c:pt idx="9">
                  <c:v>14.5</c:v>
                </c:pt>
                <c:pt idx="10">
                  <c:v>23.5</c:v>
                </c:pt>
                <c:pt idx="11">
                  <c:v>27.399999999999977</c:v>
                </c:pt>
                <c:pt idx="12">
                  <c:v>26.300000000000068</c:v>
                </c:pt>
                <c:pt idx="13">
                  <c:v>39.600000000000023</c:v>
                </c:pt>
                <c:pt idx="14">
                  <c:v>38.699999999999932</c:v>
                </c:pt>
                <c:pt idx="15">
                  <c:v>48.899999999999864</c:v>
                </c:pt>
                <c:pt idx="16">
                  <c:v>68.099999999999909</c:v>
                </c:pt>
                <c:pt idx="17">
                  <c:v>63.599999999999909</c:v>
                </c:pt>
                <c:pt idx="18">
                  <c:v>44.200000000000045</c:v>
                </c:pt>
                <c:pt idx="19">
                  <c:v>40.699999999999932</c:v>
                </c:pt>
                <c:pt idx="20">
                  <c:v>43.999999999999886</c:v>
                </c:pt>
                <c:pt idx="21">
                  <c:v>53.299999999999955</c:v>
                </c:pt>
                <c:pt idx="22">
                  <c:v>47.600000000000136</c:v>
                </c:pt>
                <c:pt idx="23">
                  <c:v>81.200000000000045</c:v>
                </c:pt>
                <c:pt idx="24">
                  <c:v>64.200000000000045</c:v>
                </c:pt>
                <c:pt idx="25">
                  <c:v>100.19999999999993</c:v>
                </c:pt>
                <c:pt idx="26">
                  <c:v>107.50000000000011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33-0D42-AA0C-E3BD3F59F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310719"/>
        <c:axId val="1384503871"/>
      </c:scatterChart>
      <c:valAx>
        <c:axId val="1392310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503871"/>
        <c:crosses val="autoZero"/>
        <c:crossBetween val="midCat"/>
      </c:valAx>
      <c:valAx>
        <c:axId val="138450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310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'3 - fresh to lyo'!$F$2:$F$26</c:f>
              <c:numCache>
                <c:formatCode>General</c:formatCode>
                <c:ptCount val="25"/>
                <c:pt idx="0">
                  <c:v>237.29999999999995</c:v>
                </c:pt>
                <c:pt idx="1">
                  <c:v>308.29999999999995</c:v>
                </c:pt>
                <c:pt idx="2">
                  <c:v>408.20000000000005</c:v>
                </c:pt>
                <c:pt idx="3">
                  <c:v>432.79999999999995</c:v>
                </c:pt>
                <c:pt idx="4">
                  <c:v>526.5</c:v>
                </c:pt>
                <c:pt idx="5">
                  <c:v>574.59999999999991</c:v>
                </c:pt>
                <c:pt idx="6">
                  <c:v>665.1</c:v>
                </c:pt>
                <c:pt idx="7">
                  <c:v>668.8</c:v>
                </c:pt>
                <c:pt idx="8">
                  <c:v>696.8</c:v>
                </c:pt>
                <c:pt idx="9">
                  <c:v>370.79999999999995</c:v>
                </c:pt>
                <c:pt idx="10">
                  <c:v>415.79999999999995</c:v>
                </c:pt>
                <c:pt idx="11">
                  <c:v>435.69999999999993</c:v>
                </c:pt>
                <c:pt idx="12">
                  <c:v>489</c:v>
                </c:pt>
                <c:pt idx="13">
                  <c:v>679.1</c:v>
                </c:pt>
                <c:pt idx="14">
                  <c:v>681.80000000000007</c:v>
                </c:pt>
                <c:pt idx="15">
                  <c:v>925.89999999999986</c:v>
                </c:pt>
                <c:pt idx="16">
                  <c:v>970.5</c:v>
                </c:pt>
                <c:pt idx="17">
                  <c:v>1139.3</c:v>
                </c:pt>
                <c:pt idx="18">
                  <c:v>675.7</c:v>
                </c:pt>
                <c:pt idx="19">
                  <c:v>706.4</c:v>
                </c:pt>
                <c:pt idx="20">
                  <c:v>762.6</c:v>
                </c:pt>
                <c:pt idx="21">
                  <c:v>852.89999999999986</c:v>
                </c:pt>
                <c:pt idx="22">
                  <c:v>958</c:v>
                </c:pt>
                <c:pt idx="23">
                  <c:v>964.3</c:v>
                </c:pt>
                <c:pt idx="24">
                  <c:v>1009.4000000000001</c:v>
                </c:pt>
              </c:numCache>
            </c:numRef>
          </c:xVal>
          <c:yVal>
            <c:numRef>
              <c:f>'3 - fresh to lyo'!$G$2:$G$26</c:f>
              <c:numCache>
                <c:formatCode>General</c:formatCode>
                <c:ptCount val="25"/>
                <c:pt idx="0">
                  <c:v>11.899999999999977</c:v>
                </c:pt>
                <c:pt idx="1">
                  <c:v>16.900000000000091</c:v>
                </c:pt>
                <c:pt idx="2">
                  <c:v>21.299999999999955</c:v>
                </c:pt>
                <c:pt idx="3">
                  <c:v>17.900000000000091</c:v>
                </c:pt>
                <c:pt idx="4">
                  <c:v>29</c:v>
                </c:pt>
                <c:pt idx="5">
                  <c:v>18.600000000000023</c:v>
                </c:pt>
                <c:pt idx="6">
                  <c:v>27.399999999999977</c:v>
                </c:pt>
                <c:pt idx="7">
                  <c:v>26.900000000000091</c:v>
                </c:pt>
                <c:pt idx="8">
                  <c:v>27.200000000000045</c:v>
                </c:pt>
                <c:pt idx="9">
                  <c:v>14.5</c:v>
                </c:pt>
                <c:pt idx="10">
                  <c:v>23.5</c:v>
                </c:pt>
                <c:pt idx="11">
                  <c:v>27.399999999999977</c:v>
                </c:pt>
                <c:pt idx="12">
                  <c:v>26.300000000000068</c:v>
                </c:pt>
                <c:pt idx="13">
                  <c:v>39.600000000000023</c:v>
                </c:pt>
                <c:pt idx="14">
                  <c:v>38.699999999999932</c:v>
                </c:pt>
                <c:pt idx="15">
                  <c:v>48.899999999999864</c:v>
                </c:pt>
                <c:pt idx="16">
                  <c:v>68.099999999999909</c:v>
                </c:pt>
                <c:pt idx="17">
                  <c:v>63.599999999999909</c:v>
                </c:pt>
                <c:pt idx="18">
                  <c:v>44.200000000000045</c:v>
                </c:pt>
                <c:pt idx="19">
                  <c:v>40.699999999999932</c:v>
                </c:pt>
                <c:pt idx="20">
                  <c:v>43.999999999999886</c:v>
                </c:pt>
                <c:pt idx="21">
                  <c:v>53.299999999999955</c:v>
                </c:pt>
                <c:pt idx="22">
                  <c:v>47.600000000000136</c:v>
                </c:pt>
                <c:pt idx="23">
                  <c:v>81.200000000000045</c:v>
                </c:pt>
                <c:pt idx="24">
                  <c:v>64.200000000000045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6C-304B-8015-603E6C86F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039743"/>
        <c:axId val="1383359231"/>
      </c:scatterChart>
      <c:valAx>
        <c:axId val="1331039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359231"/>
        <c:crosses val="autoZero"/>
        <c:crossBetween val="midCat"/>
      </c:valAx>
      <c:valAx>
        <c:axId val="138335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039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'3 - fresh to lyo'!$F$2:$F$24</c:f>
              <c:numCache>
                <c:formatCode>General</c:formatCode>
                <c:ptCount val="23"/>
                <c:pt idx="0">
                  <c:v>237.29999999999995</c:v>
                </c:pt>
                <c:pt idx="1">
                  <c:v>308.29999999999995</c:v>
                </c:pt>
                <c:pt idx="2">
                  <c:v>408.20000000000005</c:v>
                </c:pt>
                <c:pt idx="3">
                  <c:v>432.79999999999995</c:v>
                </c:pt>
                <c:pt idx="4">
                  <c:v>526.5</c:v>
                </c:pt>
                <c:pt idx="5">
                  <c:v>574.59999999999991</c:v>
                </c:pt>
                <c:pt idx="6">
                  <c:v>665.1</c:v>
                </c:pt>
                <c:pt idx="7">
                  <c:v>668.8</c:v>
                </c:pt>
                <c:pt idx="8">
                  <c:v>696.8</c:v>
                </c:pt>
                <c:pt idx="9">
                  <c:v>370.79999999999995</c:v>
                </c:pt>
                <c:pt idx="10">
                  <c:v>415.79999999999995</c:v>
                </c:pt>
                <c:pt idx="11">
                  <c:v>435.69999999999993</c:v>
                </c:pt>
                <c:pt idx="12">
                  <c:v>489</c:v>
                </c:pt>
                <c:pt idx="13">
                  <c:v>679.1</c:v>
                </c:pt>
                <c:pt idx="14">
                  <c:v>681.80000000000007</c:v>
                </c:pt>
                <c:pt idx="15">
                  <c:v>925.89999999999986</c:v>
                </c:pt>
                <c:pt idx="16">
                  <c:v>970.5</c:v>
                </c:pt>
                <c:pt idx="17">
                  <c:v>1139.3</c:v>
                </c:pt>
                <c:pt idx="18">
                  <c:v>675.7</c:v>
                </c:pt>
                <c:pt idx="19">
                  <c:v>706.4</c:v>
                </c:pt>
                <c:pt idx="20">
                  <c:v>762.6</c:v>
                </c:pt>
                <c:pt idx="21">
                  <c:v>852.89999999999986</c:v>
                </c:pt>
                <c:pt idx="22">
                  <c:v>958</c:v>
                </c:pt>
              </c:numCache>
            </c:numRef>
          </c:xVal>
          <c:yVal>
            <c:numRef>
              <c:f>'3 - fresh to lyo'!$G$2:$G$24</c:f>
              <c:numCache>
                <c:formatCode>General</c:formatCode>
                <c:ptCount val="23"/>
                <c:pt idx="0">
                  <c:v>11.899999999999977</c:v>
                </c:pt>
                <c:pt idx="1">
                  <c:v>16.900000000000091</c:v>
                </c:pt>
                <c:pt idx="2">
                  <c:v>21.299999999999955</c:v>
                </c:pt>
                <c:pt idx="3">
                  <c:v>17.900000000000091</c:v>
                </c:pt>
                <c:pt idx="4">
                  <c:v>29</c:v>
                </c:pt>
                <c:pt idx="5">
                  <c:v>18.600000000000023</c:v>
                </c:pt>
                <c:pt idx="6">
                  <c:v>27.399999999999977</c:v>
                </c:pt>
                <c:pt idx="7">
                  <c:v>26.900000000000091</c:v>
                </c:pt>
                <c:pt idx="8">
                  <c:v>27.200000000000045</c:v>
                </c:pt>
                <c:pt idx="9">
                  <c:v>14.5</c:v>
                </c:pt>
                <c:pt idx="10">
                  <c:v>23.5</c:v>
                </c:pt>
                <c:pt idx="11">
                  <c:v>27.399999999999977</c:v>
                </c:pt>
                <c:pt idx="12">
                  <c:v>26.300000000000068</c:v>
                </c:pt>
                <c:pt idx="13">
                  <c:v>39.600000000000023</c:v>
                </c:pt>
                <c:pt idx="14">
                  <c:v>38.699999999999932</c:v>
                </c:pt>
                <c:pt idx="15">
                  <c:v>48.899999999999864</c:v>
                </c:pt>
                <c:pt idx="16">
                  <c:v>68.099999999999909</c:v>
                </c:pt>
                <c:pt idx="17">
                  <c:v>63.599999999999909</c:v>
                </c:pt>
                <c:pt idx="18">
                  <c:v>44.200000000000045</c:v>
                </c:pt>
                <c:pt idx="19">
                  <c:v>40.699999999999932</c:v>
                </c:pt>
                <c:pt idx="20">
                  <c:v>43.999999999999886</c:v>
                </c:pt>
                <c:pt idx="21">
                  <c:v>53.299999999999955</c:v>
                </c:pt>
                <c:pt idx="22">
                  <c:v>47.600000000000136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83-F442-A795-4BA88DE89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046911"/>
        <c:axId val="1302953983"/>
      </c:scatterChart>
      <c:valAx>
        <c:axId val="133104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953983"/>
        <c:crosses val="autoZero"/>
        <c:crossBetween val="midCat"/>
      </c:valAx>
      <c:valAx>
        <c:axId val="130295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046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'3 - fresh to lyo'!$F$2:$F$22</c:f>
              <c:numCache>
                <c:formatCode>General</c:formatCode>
                <c:ptCount val="21"/>
                <c:pt idx="0">
                  <c:v>237.29999999999995</c:v>
                </c:pt>
                <c:pt idx="1">
                  <c:v>308.29999999999995</c:v>
                </c:pt>
                <c:pt idx="2">
                  <c:v>408.20000000000005</c:v>
                </c:pt>
                <c:pt idx="3">
                  <c:v>432.79999999999995</c:v>
                </c:pt>
                <c:pt idx="4">
                  <c:v>526.5</c:v>
                </c:pt>
                <c:pt idx="5">
                  <c:v>574.59999999999991</c:v>
                </c:pt>
                <c:pt idx="6">
                  <c:v>665.1</c:v>
                </c:pt>
                <c:pt idx="7">
                  <c:v>668.8</c:v>
                </c:pt>
                <c:pt idx="8">
                  <c:v>696.8</c:v>
                </c:pt>
                <c:pt idx="9">
                  <c:v>370.79999999999995</c:v>
                </c:pt>
                <c:pt idx="10">
                  <c:v>415.79999999999995</c:v>
                </c:pt>
                <c:pt idx="11">
                  <c:v>435.69999999999993</c:v>
                </c:pt>
                <c:pt idx="12">
                  <c:v>489</c:v>
                </c:pt>
                <c:pt idx="13">
                  <c:v>679.1</c:v>
                </c:pt>
                <c:pt idx="14">
                  <c:v>681.80000000000007</c:v>
                </c:pt>
                <c:pt idx="15">
                  <c:v>925.89999999999986</c:v>
                </c:pt>
                <c:pt idx="16">
                  <c:v>970.5</c:v>
                </c:pt>
                <c:pt idx="17">
                  <c:v>1139.3</c:v>
                </c:pt>
                <c:pt idx="18">
                  <c:v>675.7</c:v>
                </c:pt>
                <c:pt idx="19">
                  <c:v>706.4</c:v>
                </c:pt>
                <c:pt idx="20">
                  <c:v>762.6</c:v>
                </c:pt>
              </c:numCache>
            </c:numRef>
          </c:xVal>
          <c:yVal>
            <c:numRef>
              <c:f>'3 - fresh to lyo'!$G$2:$G$22</c:f>
              <c:numCache>
                <c:formatCode>General</c:formatCode>
                <c:ptCount val="21"/>
                <c:pt idx="0">
                  <c:v>11.899999999999977</c:v>
                </c:pt>
                <c:pt idx="1">
                  <c:v>16.900000000000091</c:v>
                </c:pt>
                <c:pt idx="2">
                  <c:v>21.299999999999955</c:v>
                </c:pt>
                <c:pt idx="3">
                  <c:v>17.900000000000091</c:v>
                </c:pt>
                <c:pt idx="4">
                  <c:v>29</c:v>
                </c:pt>
                <c:pt idx="5">
                  <c:v>18.600000000000023</c:v>
                </c:pt>
                <c:pt idx="6">
                  <c:v>27.399999999999977</c:v>
                </c:pt>
                <c:pt idx="7">
                  <c:v>26.900000000000091</c:v>
                </c:pt>
                <c:pt idx="8">
                  <c:v>27.200000000000045</c:v>
                </c:pt>
                <c:pt idx="9">
                  <c:v>14.5</c:v>
                </c:pt>
                <c:pt idx="10">
                  <c:v>23.5</c:v>
                </c:pt>
                <c:pt idx="11">
                  <c:v>27.399999999999977</c:v>
                </c:pt>
                <c:pt idx="12">
                  <c:v>26.300000000000068</c:v>
                </c:pt>
                <c:pt idx="13">
                  <c:v>39.600000000000023</c:v>
                </c:pt>
                <c:pt idx="14">
                  <c:v>38.699999999999932</c:v>
                </c:pt>
                <c:pt idx="15">
                  <c:v>48.899999999999864</c:v>
                </c:pt>
                <c:pt idx="16">
                  <c:v>68.099999999999909</c:v>
                </c:pt>
                <c:pt idx="17">
                  <c:v>63.599999999999909</c:v>
                </c:pt>
                <c:pt idx="18">
                  <c:v>44.200000000000045</c:v>
                </c:pt>
                <c:pt idx="19">
                  <c:v>40.699999999999932</c:v>
                </c:pt>
                <c:pt idx="20">
                  <c:v>43.999999999999886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35-F44D-91E8-7543B11E0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862207"/>
        <c:axId val="1293861759"/>
      </c:scatterChart>
      <c:valAx>
        <c:axId val="129386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861759"/>
        <c:crosses val="autoZero"/>
        <c:crossBetween val="midCat"/>
      </c:valAx>
      <c:valAx>
        <c:axId val="12938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862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'3 - fresh to lyo'!$F$2:$F$23</c:f>
              <c:numCache>
                <c:formatCode>General</c:formatCode>
                <c:ptCount val="22"/>
                <c:pt idx="0">
                  <c:v>237.29999999999995</c:v>
                </c:pt>
                <c:pt idx="1">
                  <c:v>308.29999999999995</c:v>
                </c:pt>
                <c:pt idx="2">
                  <c:v>408.20000000000005</c:v>
                </c:pt>
                <c:pt idx="3">
                  <c:v>432.79999999999995</c:v>
                </c:pt>
                <c:pt idx="4">
                  <c:v>526.5</c:v>
                </c:pt>
                <c:pt idx="5">
                  <c:v>574.59999999999991</c:v>
                </c:pt>
                <c:pt idx="6">
                  <c:v>665.1</c:v>
                </c:pt>
                <c:pt idx="7">
                  <c:v>668.8</c:v>
                </c:pt>
                <c:pt idx="8">
                  <c:v>696.8</c:v>
                </c:pt>
                <c:pt idx="9">
                  <c:v>370.79999999999995</c:v>
                </c:pt>
                <c:pt idx="10">
                  <c:v>415.79999999999995</c:v>
                </c:pt>
                <c:pt idx="11">
                  <c:v>435.69999999999993</c:v>
                </c:pt>
                <c:pt idx="12">
                  <c:v>489</c:v>
                </c:pt>
                <c:pt idx="13">
                  <c:v>679.1</c:v>
                </c:pt>
                <c:pt idx="14">
                  <c:v>681.80000000000007</c:v>
                </c:pt>
                <c:pt idx="15">
                  <c:v>925.89999999999986</c:v>
                </c:pt>
                <c:pt idx="16">
                  <c:v>970.5</c:v>
                </c:pt>
                <c:pt idx="17">
                  <c:v>1139.3</c:v>
                </c:pt>
                <c:pt idx="18">
                  <c:v>675.7</c:v>
                </c:pt>
                <c:pt idx="19">
                  <c:v>706.4</c:v>
                </c:pt>
                <c:pt idx="20">
                  <c:v>762.6</c:v>
                </c:pt>
                <c:pt idx="21">
                  <c:v>852.89999999999986</c:v>
                </c:pt>
              </c:numCache>
            </c:numRef>
          </c:xVal>
          <c:yVal>
            <c:numRef>
              <c:f>'3 - fresh to lyo'!$G$2:$G$23</c:f>
              <c:numCache>
                <c:formatCode>General</c:formatCode>
                <c:ptCount val="22"/>
                <c:pt idx="0">
                  <c:v>11.899999999999977</c:v>
                </c:pt>
                <c:pt idx="1">
                  <c:v>16.900000000000091</c:v>
                </c:pt>
                <c:pt idx="2">
                  <c:v>21.299999999999955</c:v>
                </c:pt>
                <c:pt idx="3">
                  <c:v>17.900000000000091</c:v>
                </c:pt>
                <c:pt idx="4">
                  <c:v>29</c:v>
                </c:pt>
                <c:pt idx="5">
                  <c:v>18.600000000000023</c:v>
                </c:pt>
                <c:pt idx="6">
                  <c:v>27.399999999999977</c:v>
                </c:pt>
                <c:pt idx="7">
                  <c:v>26.900000000000091</c:v>
                </c:pt>
                <c:pt idx="8">
                  <c:v>27.200000000000045</c:v>
                </c:pt>
                <c:pt idx="9">
                  <c:v>14.5</c:v>
                </c:pt>
                <c:pt idx="10">
                  <c:v>23.5</c:v>
                </c:pt>
                <c:pt idx="11">
                  <c:v>27.399999999999977</c:v>
                </c:pt>
                <c:pt idx="12">
                  <c:v>26.300000000000068</c:v>
                </c:pt>
                <c:pt idx="13">
                  <c:v>39.600000000000023</c:v>
                </c:pt>
                <c:pt idx="14">
                  <c:v>38.699999999999932</c:v>
                </c:pt>
                <c:pt idx="15">
                  <c:v>48.899999999999864</c:v>
                </c:pt>
                <c:pt idx="16">
                  <c:v>68.099999999999909</c:v>
                </c:pt>
                <c:pt idx="17">
                  <c:v>63.599999999999909</c:v>
                </c:pt>
                <c:pt idx="18">
                  <c:v>44.200000000000045</c:v>
                </c:pt>
                <c:pt idx="19">
                  <c:v>40.699999999999932</c:v>
                </c:pt>
                <c:pt idx="20">
                  <c:v>43.999999999999886</c:v>
                </c:pt>
                <c:pt idx="21">
                  <c:v>53.299999999999955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0A-4B4A-9FCF-018FD5F0F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9530303"/>
        <c:axId val="1349527615"/>
      </c:scatterChart>
      <c:valAx>
        <c:axId val="1349530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527615"/>
        <c:crosses val="autoZero"/>
        <c:crossBetween val="midCat"/>
      </c:valAx>
      <c:valAx>
        <c:axId val="134952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530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</xdr:colOff>
      <xdr:row>3</xdr:row>
      <xdr:rowOff>31750</xdr:rowOff>
    </xdr:from>
    <xdr:to>
      <xdr:col>14</xdr:col>
      <xdr:colOff>450850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C5F1DD-0D93-B84B-A069-3D5C9FFCE9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279400</xdr:colOff>
      <xdr:row>15</xdr:row>
      <xdr:rowOff>12700</xdr:rowOff>
    </xdr:from>
    <xdr:to>
      <xdr:col>14</xdr:col>
      <xdr:colOff>723900</xdr:colOff>
      <xdr:row>28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3C0F31-D5BC-F848-A639-FCE4733A6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88900</xdr:colOff>
      <xdr:row>1</xdr:row>
      <xdr:rowOff>12700</xdr:rowOff>
    </xdr:from>
    <xdr:to>
      <xdr:col>17</xdr:col>
      <xdr:colOff>533400</xdr:colOff>
      <xdr:row>14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07B628-B065-F54C-85CC-53AF629A69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749300</xdr:colOff>
      <xdr:row>2</xdr:row>
      <xdr:rowOff>139700</xdr:rowOff>
    </xdr:from>
    <xdr:to>
      <xdr:col>18</xdr:col>
      <xdr:colOff>177800</xdr:colOff>
      <xdr:row>28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6D3EE9-6372-5D40-A255-9D2E241F07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12700</xdr:colOff>
      <xdr:row>1</xdr:row>
      <xdr:rowOff>12700</xdr:rowOff>
    </xdr:from>
    <xdr:to>
      <xdr:col>18</xdr:col>
      <xdr:colOff>203200</xdr:colOff>
      <xdr:row>27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075E37-3EFE-234B-B134-E53D7724E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BCF3-BA7B-6F4A-A169-DE8A4C56C8A3}">
  <dimension ref="A1:K50"/>
  <sheetViews>
    <sheetView tabSelected="1" zoomScale="112" workbookViewId="0">
      <selection activeCell="J13" sqref="J13"/>
    </sheetView>
  </sheetViews>
  <sheetFormatPr baseColWidth="10" defaultRowHeight="15" x14ac:dyDescent="0.2"/>
  <cols>
    <col min="1" max="1" width="7.33203125" bestFit="1" customWidth="1"/>
    <col min="2" max="2" width="5" bestFit="1" customWidth="1"/>
    <col min="3" max="3" width="4.6640625" bestFit="1" customWidth="1"/>
    <col min="4" max="4" width="5.33203125" bestFit="1" customWidth="1"/>
    <col min="5" max="5" width="14.1640625" bestFit="1" customWidth="1"/>
    <col min="6" max="6" width="12.83203125" bestFit="1" customWidth="1"/>
    <col min="7" max="7" width="11.33203125" bestFit="1" customWidth="1"/>
    <col min="8" max="8" width="7.1640625" bestFit="1" customWidth="1"/>
    <col min="9" max="9" width="9.33203125" bestFit="1" customWidth="1"/>
    <col min="10" max="10" width="9.1640625" bestFit="1" customWidth="1"/>
    <col min="11" max="11" width="7.33203125" bestFit="1" customWidth="1"/>
  </cols>
  <sheetData>
    <row r="1" spans="1:11" ht="34" x14ac:dyDescent="0.2">
      <c r="A1" s="104" t="s">
        <v>27</v>
      </c>
      <c r="B1" s="105" t="s">
        <v>15</v>
      </c>
      <c r="C1" s="105" t="s">
        <v>19</v>
      </c>
      <c r="D1" s="105" t="s">
        <v>65</v>
      </c>
      <c r="E1" s="106" t="s">
        <v>210</v>
      </c>
      <c r="F1" s="106" t="s">
        <v>209</v>
      </c>
      <c r="G1" s="106" t="s">
        <v>211</v>
      </c>
      <c r="H1" s="106" t="s">
        <v>212</v>
      </c>
      <c r="I1" s="106" t="s">
        <v>213</v>
      </c>
      <c r="J1" s="106" t="s">
        <v>214</v>
      </c>
      <c r="K1" s="107" t="s">
        <v>215</v>
      </c>
    </row>
    <row r="2" spans="1:11" x14ac:dyDescent="0.2">
      <c r="A2" s="11">
        <v>18</v>
      </c>
      <c r="B2" s="7">
        <v>7</v>
      </c>
      <c r="C2" s="12">
        <v>4.4800000000000004</v>
      </c>
      <c r="D2" s="27">
        <v>4.944381524983803</v>
      </c>
      <c r="E2" s="12">
        <v>3.3</v>
      </c>
      <c r="F2" s="12">
        <v>0.18050999999999998</v>
      </c>
      <c r="G2" s="12">
        <v>2.483473016</v>
      </c>
      <c r="H2" s="12">
        <v>9.9820370370370366</v>
      </c>
      <c r="I2" s="56">
        <v>5.9416887125220454E-2</v>
      </c>
      <c r="J2" s="56">
        <v>0.10426504157142856</v>
      </c>
      <c r="K2" s="30">
        <v>0.56986393742063479</v>
      </c>
    </row>
    <row r="3" spans="1:11" x14ac:dyDescent="0.2">
      <c r="A3" s="11">
        <v>18</v>
      </c>
      <c r="B3" s="7">
        <v>8</v>
      </c>
      <c r="C3" s="12">
        <v>4.2699999999999996</v>
      </c>
      <c r="D3" s="27">
        <v>4.678848065665302</v>
      </c>
      <c r="E3" s="12">
        <v>3.6</v>
      </c>
      <c r="F3" s="12">
        <v>0.19692000000000001</v>
      </c>
      <c r="G3" s="12">
        <v>0.56667301599999997</v>
      </c>
      <c r="H3" s="12">
        <v>10.893703703703704</v>
      </c>
      <c r="I3" s="56">
        <v>5.673804012345679E-2</v>
      </c>
      <c r="J3" s="56">
        <v>0.10121524470833333</v>
      </c>
      <c r="K3" s="30">
        <v>0.56056812673778367</v>
      </c>
    </row>
    <row r="4" spans="1:11" x14ac:dyDescent="0.2">
      <c r="A4" s="11">
        <v>18</v>
      </c>
      <c r="B4" s="7">
        <v>9</v>
      </c>
      <c r="C4" s="12">
        <v>3.77</v>
      </c>
      <c r="D4" s="27">
        <v>4.5958266709849385</v>
      </c>
      <c r="E4" s="12">
        <v>3.7</v>
      </c>
      <c r="F4" s="12">
        <v>0.20239000000000001</v>
      </c>
      <c r="G4" s="12">
        <v>0.72640634900000001</v>
      </c>
      <c r="H4" s="12">
        <v>11.197592592592594</v>
      </c>
      <c r="I4" s="56">
        <v>5.1840706447187933E-2</v>
      </c>
      <c r="J4" s="56">
        <v>8.9229600236111109E-2</v>
      </c>
      <c r="K4" s="30">
        <v>0.58098104563969644</v>
      </c>
    </row>
    <row r="5" spans="1:11" x14ac:dyDescent="0.2">
      <c r="A5" s="11">
        <v>18</v>
      </c>
      <c r="B5" s="7">
        <v>10</v>
      </c>
      <c r="C5" s="12">
        <v>4.7300000000000004</v>
      </c>
      <c r="D5" s="27">
        <v>4.633942271081847</v>
      </c>
      <c r="E5" s="12">
        <v>2.5</v>
      </c>
      <c r="F5" s="12">
        <v>0.13674999999999998</v>
      </c>
      <c r="G5" s="12">
        <v>0.57618095199999997</v>
      </c>
      <c r="H5" s="12">
        <v>7.5509259259259256</v>
      </c>
      <c r="I5" s="56">
        <v>3.1462191358024687E-2</v>
      </c>
      <c r="J5" s="56">
        <v>8.093257936666666E-2</v>
      </c>
      <c r="K5" s="30">
        <v>0.38874568936552245</v>
      </c>
    </row>
    <row r="6" spans="1:11" x14ac:dyDescent="0.2">
      <c r="A6" s="11">
        <v>18</v>
      </c>
      <c r="B6" s="7">
        <v>11</v>
      </c>
      <c r="C6" s="12">
        <v>5.09</v>
      </c>
      <c r="D6" s="27">
        <v>4.6331938298943101</v>
      </c>
      <c r="E6" s="12">
        <v>3.2</v>
      </c>
      <c r="F6" s="12">
        <v>0.17504</v>
      </c>
      <c r="G6" s="12">
        <v>0.59709841299999999</v>
      </c>
      <c r="H6" s="12">
        <v>9.6781481481481482</v>
      </c>
      <c r="I6" s="56">
        <v>3.6659652076318744E-2</v>
      </c>
      <c r="J6" s="56">
        <v>7.3495839344696959E-2</v>
      </c>
      <c r="K6" s="30">
        <v>0.49879901234115087</v>
      </c>
    </row>
    <row r="7" spans="1:11" x14ac:dyDescent="0.2">
      <c r="A7" s="11">
        <v>18</v>
      </c>
      <c r="B7" s="7">
        <v>13</v>
      </c>
      <c r="C7" s="12">
        <v>5.23</v>
      </c>
      <c r="D7" s="27">
        <v>4.6304187415744895</v>
      </c>
      <c r="E7" s="12">
        <v>2.8</v>
      </c>
      <c r="F7" s="12">
        <v>0.15315999999999999</v>
      </c>
      <c r="G7" s="12">
        <v>0.58949206300000001</v>
      </c>
      <c r="H7" s="12">
        <v>8.4625925925925927</v>
      </c>
      <c r="I7" s="56">
        <v>2.7123694207027541E-2</v>
      </c>
      <c r="J7" s="56">
        <v>6.2213166464743584E-2</v>
      </c>
      <c r="K7" s="30">
        <v>0.4359799661121353</v>
      </c>
    </row>
    <row r="8" spans="1:11" x14ac:dyDescent="0.2">
      <c r="A8" s="14">
        <v>18</v>
      </c>
      <c r="B8" s="2">
        <v>14</v>
      </c>
      <c r="C8" s="3">
        <v>5.68</v>
      </c>
      <c r="D8" s="41">
        <v>4.5895284899981341</v>
      </c>
      <c r="E8" s="3">
        <v>1.8</v>
      </c>
      <c r="F8" s="3">
        <v>9.8460000000000006E-2</v>
      </c>
      <c r="G8" s="3">
        <v>0.59044285699999999</v>
      </c>
      <c r="H8" s="3">
        <v>5.4237037037037039</v>
      </c>
      <c r="I8" s="57">
        <v>1.6141975308641976E-2</v>
      </c>
      <c r="J8" s="57">
        <v>5.7766539116071429E-2</v>
      </c>
      <c r="K8" s="31">
        <v>0.27943469620375894</v>
      </c>
    </row>
    <row r="9" spans="1:11" x14ac:dyDescent="0.2">
      <c r="A9" s="11">
        <v>36</v>
      </c>
      <c r="B9" s="7">
        <v>7</v>
      </c>
      <c r="C9" s="12">
        <v>3.56</v>
      </c>
      <c r="D9" s="27">
        <v>4.6236582241002226</v>
      </c>
      <c r="E9" s="12">
        <v>4.3</v>
      </c>
      <c r="F9" s="12">
        <v>0.23520999999999997</v>
      </c>
      <c r="G9" s="12">
        <v>2.7059587299999999</v>
      </c>
      <c r="H9" s="12">
        <v>6.4873148148148134</v>
      </c>
      <c r="I9" s="56">
        <v>3.8614969135802459E-2</v>
      </c>
      <c r="J9" s="56">
        <v>0.1029407218452381</v>
      </c>
      <c r="K9" s="30">
        <v>0.37511849969205102</v>
      </c>
    </row>
    <row r="10" spans="1:11" x14ac:dyDescent="0.2">
      <c r="A10" s="11">
        <v>36</v>
      </c>
      <c r="B10" s="7">
        <v>8</v>
      </c>
      <c r="C10" s="12">
        <v>3.67</v>
      </c>
      <c r="D10" s="27">
        <v>4.6152294218019883</v>
      </c>
      <c r="E10" s="12">
        <v>5.2</v>
      </c>
      <c r="F10" s="12">
        <v>0.28444000000000003</v>
      </c>
      <c r="G10" s="12">
        <v>1.327307937</v>
      </c>
      <c r="H10" s="12">
        <v>7.8548148148148158</v>
      </c>
      <c r="I10" s="56">
        <v>4.0910493827160499E-2</v>
      </c>
      <c r="J10" s="56">
        <v>9.7253604494791659E-2</v>
      </c>
      <c r="K10" s="30">
        <v>0.42065786702385338</v>
      </c>
    </row>
    <row r="11" spans="1:11" x14ac:dyDescent="0.2">
      <c r="A11" s="11">
        <v>36</v>
      </c>
      <c r="B11" s="7">
        <v>9</v>
      </c>
      <c r="C11" s="12">
        <v>3.7</v>
      </c>
      <c r="D11" s="27">
        <v>4.5473715672607193</v>
      </c>
      <c r="E11" s="12">
        <v>5.5</v>
      </c>
      <c r="F11" s="12">
        <v>0.30085000000000001</v>
      </c>
      <c r="G11" s="12">
        <v>0.67316190499999995</v>
      </c>
      <c r="H11" s="12">
        <v>8.3106481481481485</v>
      </c>
      <c r="I11" s="56">
        <v>3.8475222908093278E-2</v>
      </c>
      <c r="J11" s="56">
        <v>8.9476102291666665E-2</v>
      </c>
      <c r="K11" s="30">
        <v>0.43000557604392498</v>
      </c>
    </row>
    <row r="12" spans="1:11" x14ac:dyDescent="0.2">
      <c r="A12" s="11">
        <v>36</v>
      </c>
      <c r="B12" s="7">
        <v>10</v>
      </c>
      <c r="C12" s="12">
        <v>3.89</v>
      </c>
      <c r="D12" s="27">
        <v>4.4115247554626933</v>
      </c>
      <c r="E12" s="12">
        <v>5.5</v>
      </c>
      <c r="F12" s="12">
        <v>0.30085000000000001</v>
      </c>
      <c r="G12" s="12">
        <v>0.56096825400000006</v>
      </c>
      <c r="H12" s="12">
        <v>8.3106481481481485</v>
      </c>
      <c r="I12" s="56">
        <v>3.462770061728395E-2</v>
      </c>
      <c r="J12" s="56">
        <v>8.0995965608333345E-2</v>
      </c>
      <c r="K12" s="30">
        <v>0.42752377056322483</v>
      </c>
    </row>
    <row r="13" spans="1:11" x14ac:dyDescent="0.2">
      <c r="A13" s="11">
        <v>36</v>
      </c>
      <c r="B13" s="7">
        <v>11</v>
      </c>
      <c r="C13" s="12">
        <v>4.01</v>
      </c>
      <c r="D13" s="27">
        <v>4.4222204319195404</v>
      </c>
      <c r="E13" s="12">
        <v>4.9000000000000004</v>
      </c>
      <c r="F13" s="12">
        <v>0.26802999999999999</v>
      </c>
      <c r="G13" s="12">
        <v>0.57808254000000003</v>
      </c>
      <c r="H13" s="12">
        <v>7.3989814814814814</v>
      </c>
      <c r="I13" s="56">
        <v>2.8026445005611671E-2</v>
      </c>
      <c r="J13" s="56">
        <v>7.3567869166666661E-2</v>
      </c>
      <c r="K13" s="30">
        <v>0.38096040191293662</v>
      </c>
    </row>
    <row r="14" spans="1:11" x14ac:dyDescent="0.2">
      <c r="A14" s="11">
        <v>36</v>
      </c>
      <c r="B14" s="7">
        <v>13</v>
      </c>
      <c r="C14" s="12">
        <v>4.78</v>
      </c>
      <c r="D14" s="27">
        <v>4.3731624637354107</v>
      </c>
      <c r="E14" s="12">
        <v>3.9</v>
      </c>
      <c r="F14" s="12">
        <v>0.21332999999999999</v>
      </c>
      <c r="G14" s="12">
        <v>0.58949206300000001</v>
      </c>
      <c r="H14" s="12">
        <v>5.8795370370370366</v>
      </c>
      <c r="I14" s="56">
        <v>1.8844669990503323E-2</v>
      </c>
      <c r="J14" s="56">
        <v>6.2213166464743584E-2</v>
      </c>
      <c r="K14" s="30">
        <v>0.30290485216152213</v>
      </c>
    </row>
    <row r="15" spans="1:11" x14ac:dyDescent="0.2">
      <c r="A15" s="14">
        <v>36</v>
      </c>
      <c r="B15" s="2">
        <v>14</v>
      </c>
      <c r="C15" s="3">
        <v>4.9800000000000004</v>
      </c>
      <c r="D15" s="41">
        <v>4.4720501373214701</v>
      </c>
      <c r="E15" s="3">
        <v>2.7</v>
      </c>
      <c r="F15" s="3">
        <v>0.14769000000000002</v>
      </c>
      <c r="G15" s="3">
        <v>0.59899999999999998</v>
      </c>
      <c r="H15" s="3">
        <v>4.0562037037037042</v>
      </c>
      <c r="I15" s="57">
        <v>1.2072034832451501E-2</v>
      </c>
      <c r="J15" s="57">
        <v>5.7741071428571426E-2</v>
      </c>
      <c r="K15" s="31">
        <v>0.20907188823791065</v>
      </c>
    </row>
    <row r="16" spans="1:11" x14ac:dyDescent="0.2">
      <c r="A16" s="11">
        <v>54</v>
      </c>
      <c r="B16" s="7">
        <v>7</v>
      </c>
      <c r="C16" s="12">
        <v>4.03</v>
      </c>
      <c r="D16" s="27">
        <v>4.6759641012881703</v>
      </c>
      <c r="E16" s="12">
        <v>4.7</v>
      </c>
      <c r="F16" s="12">
        <v>0.25708999999999999</v>
      </c>
      <c r="G16" s="12">
        <v>4.4192888889999997</v>
      </c>
      <c r="H16" s="12">
        <v>4.7146296296296288</v>
      </c>
      <c r="I16" s="56">
        <v>2.8063271604938267E-2</v>
      </c>
      <c r="J16" s="56">
        <v>9.2742328041666669E-2</v>
      </c>
      <c r="K16" s="30">
        <v>0.30259399561686856</v>
      </c>
    </row>
    <row r="17" spans="1:11" x14ac:dyDescent="0.2">
      <c r="A17" s="11">
        <v>54</v>
      </c>
      <c r="B17" s="7">
        <v>8</v>
      </c>
      <c r="C17" s="12">
        <v>3.82</v>
      </c>
      <c r="D17" s="27">
        <v>4.5373409229604409</v>
      </c>
      <c r="E17" s="12">
        <v>5.6</v>
      </c>
      <c r="F17" s="12">
        <v>0.30631999999999998</v>
      </c>
      <c r="G17" s="12">
        <v>4.0865111110000001</v>
      </c>
      <c r="H17" s="12">
        <v>5.6262962962962959</v>
      </c>
      <c r="I17" s="56">
        <v>2.9303626543209876E-2</v>
      </c>
      <c r="J17" s="56">
        <v>8.2882754630208333E-2</v>
      </c>
      <c r="K17" s="30">
        <v>0.35355517168742318</v>
      </c>
    </row>
    <row r="18" spans="1:11" x14ac:dyDescent="0.2">
      <c r="A18" s="11">
        <v>54</v>
      </c>
      <c r="B18" s="7">
        <v>9</v>
      </c>
      <c r="C18" s="12">
        <v>3.84</v>
      </c>
      <c r="D18" s="27">
        <v>4.4476505041078465</v>
      </c>
      <c r="E18" s="12">
        <v>6.3</v>
      </c>
      <c r="F18" s="12">
        <v>0.34460999999999997</v>
      </c>
      <c r="G18" s="12">
        <v>1.840736508</v>
      </c>
      <c r="H18" s="12">
        <v>6.3353703703703692</v>
      </c>
      <c r="I18" s="56">
        <v>2.93304183813443E-2</v>
      </c>
      <c r="J18" s="56">
        <v>8.4070664314814816E-2</v>
      </c>
      <c r="K18" s="30">
        <v>0.34887815649359316</v>
      </c>
    </row>
    <row r="19" spans="1:11" x14ac:dyDescent="0.2">
      <c r="A19" s="11">
        <v>54</v>
      </c>
      <c r="B19" s="7">
        <v>10</v>
      </c>
      <c r="C19" s="12">
        <v>3.76</v>
      </c>
      <c r="D19" s="27">
        <v>4.4428865229306442</v>
      </c>
      <c r="E19" s="12">
        <v>6.2</v>
      </c>
      <c r="F19" s="12">
        <v>0.33914</v>
      </c>
      <c r="G19" s="12">
        <v>1.306390476</v>
      </c>
      <c r="H19" s="12">
        <v>6.2340740740740737</v>
      </c>
      <c r="I19" s="56">
        <v>2.5975308641975305E-2</v>
      </c>
      <c r="J19" s="56">
        <v>7.7890039683333329E-2</v>
      </c>
      <c r="K19" s="30">
        <v>0.33348690984854412</v>
      </c>
    </row>
    <row r="20" spans="1:11" x14ac:dyDescent="0.2">
      <c r="A20" s="11">
        <v>54</v>
      </c>
      <c r="B20" s="7">
        <v>11</v>
      </c>
      <c r="C20" s="12">
        <v>3.83</v>
      </c>
      <c r="D20" s="27">
        <v>4.4175264917121089</v>
      </c>
      <c r="E20" s="12">
        <v>6.6</v>
      </c>
      <c r="F20" s="12">
        <v>0.36101999999999995</v>
      </c>
      <c r="G20" s="12">
        <v>0.63513015900000003</v>
      </c>
      <c r="H20" s="12">
        <v>6.6392592592592576</v>
      </c>
      <c r="I20" s="56">
        <v>2.5148709315375977E-2</v>
      </c>
      <c r="J20" s="56">
        <v>7.3351779700757583E-2</v>
      </c>
      <c r="K20" s="30">
        <v>0.34285070407250445</v>
      </c>
    </row>
    <row r="21" spans="1:11" x14ac:dyDescent="0.2">
      <c r="A21" s="11">
        <v>54</v>
      </c>
      <c r="B21" s="7">
        <v>13</v>
      </c>
      <c r="C21" s="12">
        <v>4.4400000000000004</v>
      </c>
      <c r="D21" s="27">
        <v>4.3677628894099332</v>
      </c>
      <c r="E21" s="12">
        <v>5.9</v>
      </c>
      <c r="F21" s="12">
        <v>0.32273000000000002</v>
      </c>
      <c r="G21" s="12">
        <v>0.59519682500000004</v>
      </c>
      <c r="H21" s="12">
        <v>5.9301851851851852</v>
      </c>
      <c r="I21" s="56">
        <v>1.9007003798670465E-2</v>
      </c>
      <c r="J21" s="56">
        <v>6.2194881971153852E-2</v>
      </c>
      <c r="K21" s="30">
        <v>0.30560398534860095</v>
      </c>
    </row>
    <row r="22" spans="1:11" x14ac:dyDescent="0.2">
      <c r="A22" s="14">
        <v>54</v>
      </c>
      <c r="B22" s="2">
        <v>14</v>
      </c>
      <c r="C22" s="3">
        <v>4.37</v>
      </c>
      <c r="D22" s="41">
        <v>4.2007145681731011</v>
      </c>
      <c r="E22" s="3">
        <v>4.7</v>
      </c>
      <c r="F22" s="3">
        <v>0.25708999999999999</v>
      </c>
      <c r="G22" s="3">
        <v>0.613261905</v>
      </c>
      <c r="H22" s="3">
        <v>4.7146296296296288</v>
      </c>
      <c r="I22" s="57">
        <v>1.4031635802469133E-2</v>
      </c>
      <c r="J22" s="57">
        <v>5.7698625282738093E-2</v>
      </c>
      <c r="K22" s="31">
        <v>0.24318839025558256</v>
      </c>
    </row>
    <row r="23" spans="1:11" x14ac:dyDescent="0.2">
      <c r="A23" s="35">
        <v>72</v>
      </c>
      <c r="B23" s="6">
        <v>7</v>
      </c>
      <c r="C23" s="36">
        <v>4.24</v>
      </c>
      <c r="D23" s="52">
        <v>4.5515267637911894</v>
      </c>
      <c r="E23" s="36">
        <v>4.8</v>
      </c>
      <c r="F23" s="36">
        <v>0.26255999999999996</v>
      </c>
      <c r="G23" s="36">
        <v>5.5317174600000003</v>
      </c>
      <c r="H23" s="36">
        <v>3.6003703703703698</v>
      </c>
      <c r="I23" s="58">
        <v>2.1430776014109344E-2</v>
      </c>
      <c r="J23" s="58">
        <v>8.6120729404761912E-2</v>
      </c>
      <c r="K23" s="37">
        <v>0.24884573275484081</v>
      </c>
    </row>
    <row r="24" spans="1:11" x14ac:dyDescent="0.2">
      <c r="A24" s="11">
        <v>72</v>
      </c>
      <c r="B24" s="7">
        <v>8</v>
      </c>
      <c r="C24" s="12">
        <v>4.18</v>
      </c>
      <c r="D24" s="27">
        <v>4.5503654706136576</v>
      </c>
      <c r="E24" s="12">
        <v>5.6</v>
      </c>
      <c r="F24" s="12">
        <v>0.30631999999999998</v>
      </c>
      <c r="G24" s="12">
        <v>6.0147206349999998</v>
      </c>
      <c r="H24" s="12">
        <v>4.2081481481481475</v>
      </c>
      <c r="I24" s="56">
        <v>2.1917438271604934E-2</v>
      </c>
      <c r="J24" s="56">
        <v>7.2839996692708339E-2</v>
      </c>
      <c r="K24" s="30">
        <v>0.30089839740202767</v>
      </c>
    </row>
    <row r="25" spans="1:11" x14ac:dyDescent="0.2">
      <c r="A25" s="11">
        <v>72</v>
      </c>
      <c r="B25" s="7">
        <v>9</v>
      </c>
      <c r="C25" s="12">
        <v>4</v>
      </c>
      <c r="D25" s="27">
        <v>4.4328860849646903</v>
      </c>
      <c r="E25" s="12">
        <v>6.1</v>
      </c>
      <c r="F25" s="12">
        <v>0.33366999999999997</v>
      </c>
      <c r="G25" s="12">
        <v>3.590196825</v>
      </c>
      <c r="H25" s="12">
        <v>4.5880092592592581</v>
      </c>
      <c r="I25" s="56">
        <v>2.1240783607681751E-2</v>
      </c>
      <c r="J25" s="56">
        <v>7.597131099537037E-2</v>
      </c>
      <c r="K25" s="30">
        <v>0.27958953622606492</v>
      </c>
    </row>
    <row r="26" spans="1:11" x14ac:dyDescent="0.2">
      <c r="A26" s="11">
        <v>72</v>
      </c>
      <c r="B26" s="7">
        <v>10</v>
      </c>
      <c r="C26" s="12">
        <v>3.96</v>
      </c>
      <c r="D26" s="27">
        <v>4.3863298624937164</v>
      </c>
      <c r="E26" s="12">
        <v>6</v>
      </c>
      <c r="F26" s="12">
        <v>0.32819999999999999</v>
      </c>
      <c r="G26" s="12">
        <v>2.5348158729999999</v>
      </c>
      <c r="H26" s="12">
        <v>4.512037037037036</v>
      </c>
      <c r="I26" s="56">
        <v>1.8800154320987649E-2</v>
      </c>
      <c r="J26" s="56">
        <v>7.2771600529166675E-2</v>
      </c>
      <c r="K26" s="30">
        <v>0.25834465896421499</v>
      </c>
    </row>
    <row r="27" spans="1:11" x14ac:dyDescent="0.2">
      <c r="A27" s="11">
        <v>72</v>
      </c>
      <c r="B27" s="7">
        <v>11</v>
      </c>
      <c r="C27" s="12">
        <v>3.89</v>
      </c>
      <c r="D27" s="27">
        <v>4.4135858619149513</v>
      </c>
      <c r="E27" s="12">
        <v>6.3</v>
      </c>
      <c r="F27" s="12">
        <v>0.34460999999999997</v>
      </c>
      <c r="G27" s="12">
        <v>2.6831396829999998</v>
      </c>
      <c r="H27" s="12">
        <v>4.7399537037037032</v>
      </c>
      <c r="I27" s="56">
        <v>1.7954370089786755E-2</v>
      </c>
      <c r="J27" s="56">
        <v>6.5594167867424238E-2</v>
      </c>
      <c r="K27" s="30">
        <v>0.27371900084280754</v>
      </c>
    </row>
    <row r="28" spans="1:11" x14ac:dyDescent="0.2">
      <c r="A28" s="11">
        <v>72</v>
      </c>
      <c r="B28" s="7">
        <v>13</v>
      </c>
      <c r="C28" s="12">
        <v>3.83</v>
      </c>
      <c r="D28" s="27">
        <v>4.3742086537458142</v>
      </c>
      <c r="E28" s="12">
        <v>7.5</v>
      </c>
      <c r="F28" s="12">
        <v>0.41025</v>
      </c>
      <c r="G28" s="12">
        <v>0.67696507900000003</v>
      </c>
      <c r="H28" s="12">
        <v>5.6516203703703702</v>
      </c>
      <c r="I28" s="56">
        <v>1.8114167853751188E-2</v>
      </c>
      <c r="J28" s="56">
        <v>6.1932804233974362E-2</v>
      </c>
      <c r="K28" s="30">
        <v>0.29248098932058902</v>
      </c>
    </row>
    <row r="29" spans="1:11" x14ac:dyDescent="0.2">
      <c r="A29" s="14">
        <v>72</v>
      </c>
      <c r="B29" s="2">
        <v>14</v>
      </c>
      <c r="C29" s="3">
        <v>4.04</v>
      </c>
      <c r="D29" s="41">
        <v>4.329614293334151</v>
      </c>
      <c r="E29" s="3">
        <v>6.7</v>
      </c>
      <c r="F29" s="3">
        <v>0.36648999999999998</v>
      </c>
      <c r="G29" s="3">
        <v>0.58759047600000003</v>
      </c>
      <c r="H29" s="3">
        <v>5.0438425925925925</v>
      </c>
      <c r="I29" s="57">
        <v>1.5011436287477954E-2</v>
      </c>
      <c r="J29" s="57">
        <v>5.7775028345238101E-2</v>
      </c>
      <c r="K29" s="31">
        <v>0.25982568451158916</v>
      </c>
    </row>
    <row r="30" spans="1:11" x14ac:dyDescent="0.2">
      <c r="A30" s="11">
        <v>90</v>
      </c>
      <c r="B30" s="7">
        <v>7</v>
      </c>
      <c r="C30" s="12">
        <v>4.55</v>
      </c>
      <c r="D30" s="27">
        <v>4.5928951551124788</v>
      </c>
      <c r="E30" s="12">
        <v>4.0999999999999996</v>
      </c>
      <c r="F30" s="12">
        <v>0.22426999999999997</v>
      </c>
      <c r="G30" s="12">
        <v>7.4161904759999997</v>
      </c>
      <c r="H30" s="12">
        <v>2.4455925925925923</v>
      </c>
      <c r="I30" s="56">
        <v>1.4557098765432097E-2</v>
      </c>
      <c r="J30" s="56">
        <v>7.4903628119047619E-2</v>
      </c>
      <c r="K30" s="30">
        <v>0.19434437464492191</v>
      </c>
    </row>
    <row r="31" spans="1:11" x14ac:dyDescent="0.2">
      <c r="A31" s="11">
        <v>90</v>
      </c>
      <c r="B31" s="7">
        <v>8</v>
      </c>
      <c r="C31" s="12">
        <v>4.7</v>
      </c>
      <c r="D31" s="27">
        <v>4.646254546087488</v>
      </c>
      <c r="E31" s="12">
        <v>5.9</v>
      </c>
      <c r="F31" s="12">
        <v>0.32273000000000002</v>
      </c>
      <c r="G31" s="12">
        <v>5.8587904760000002</v>
      </c>
      <c r="H31" s="12">
        <v>3.5395925925925931</v>
      </c>
      <c r="I31" s="56">
        <v>1.8435378086419756E-2</v>
      </c>
      <c r="J31" s="56">
        <v>7.3652132937500003E-2</v>
      </c>
      <c r="K31" s="30">
        <v>0.25030338363810478</v>
      </c>
    </row>
    <row r="32" spans="1:11" x14ac:dyDescent="0.2">
      <c r="A32" s="11">
        <v>90</v>
      </c>
      <c r="B32" s="7">
        <v>9</v>
      </c>
      <c r="C32" s="12">
        <v>4.42</v>
      </c>
      <c r="D32" s="27">
        <v>4.4930647522037832</v>
      </c>
      <c r="E32" s="12">
        <v>5.6</v>
      </c>
      <c r="F32" s="12">
        <v>0.30631999999999998</v>
      </c>
      <c r="G32" s="12">
        <v>6.1117015869999998</v>
      </c>
      <c r="H32" s="12">
        <v>3.3572592592592589</v>
      </c>
      <c r="I32" s="56">
        <v>1.5542866941015088E-2</v>
      </c>
      <c r="J32" s="56">
        <v>6.4297677837962974E-2</v>
      </c>
      <c r="K32" s="30">
        <v>0.24173294376485535</v>
      </c>
    </row>
    <row r="33" spans="1:11" x14ac:dyDescent="0.2">
      <c r="A33" s="11">
        <v>90</v>
      </c>
      <c r="B33" s="7">
        <v>10</v>
      </c>
      <c r="C33" s="12">
        <v>4.18</v>
      </c>
      <c r="D33" s="27">
        <v>4.3047000267263478</v>
      </c>
      <c r="E33" s="12">
        <v>6.5</v>
      </c>
      <c r="F33" s="12">
        <v>0.35554999999999998</v>
      </c>
      <c r="G33" s="12">
        <v>3.9933333329999998</v>
      </c>
      <c r="H33" s="12">
        <v>3.9042592592592591</v>
      </c>
      <c r="I33" s="56">
        <v>1.6267746913580246E-2</v>
      </c>
      <c r="J33" s="56">
        <v>6.6694444445833334E-2</v>
      </c>
      <c r="K33" s="30">
        <v>0.24391457262669433</v>
      </c>
    </row>
    <row r="34" spans="1:11" x14ac:dyDescent="0.2">
      <c r="A34" s="11">
        <v>90</v>
      </c>
      <c r="B34" s="7">
        <v>11</v>
      </c>
      <c r="C34" s="12">
        <v>4.0599999999999996</v>
      </c>
      <c r="D34" s="27">
        <v>4.3404491465068231</v>
      </c>
      <c r="E34" s="12">
        <v>6.5</v>
      </c>
      <c r="F34" s="12">
        <v>0.35554999999999998</v>
      </c>
      <c r="G34" s="12">
        <v>3.8583206350000001</v>
      </c>
      <c r="H34" s="12">
        <v>3.9042592592592591</v>
      </c>
      <c r="I34" s="56">
        <v>1.4788860830527497E-2</v>
      </c>
      <c r="J34" s="56">
        <v>6.1142724867424246E-2</v>
      </c>
      <c r="K34" s="30">
        <v>0.24187441535512488</v>
      </c>
    </row>
    <row r="35" spans="1:11" x14ac:dyDescent="0.2">
      <c r="A35" s="11">
        <v>90</v>
      </c>
      <c r="B35" s="7">
        <v>13</v>
      </c>
      <c r="C35" s="12">
        <v>4.01</v>
      </c>
      <c r="D35" s="27">
        <v>4.3829886717677642</v>
      </c>
      <c r="E35" s="12">
        <v>7.9</v>
      </c>
      <c r="F35" s="12">
        <v>0.43213000000000001</v>
      </c>
      <c r="G35" s="12">
        <v>1.7893936509999999</v>
      </c>
      <c r="H35" s="12">
        <v>4.7551481481481481</v>
      </c>
      <c r="I35" s="56">
        <v>1.5240859449192783E-2</v>
      </c>
      <c r="J35" s="56">
        <v>5.8367328041666666E-2</v>
      </c>
      <c r="K35" s="30">
        <v>0.26111970447427019</v>
      </c>
    </row>
    <row r="36" spans="1:11" x14ac:dyDescent="0.2">
      <c r="A36" s="14">
        <v>90</v>
      </c>
      <c r="B36" s="2">
        <v>14</v>
      </c>
      <c r="C36" s="3">
        <v>3.98</v>
      </c>
      <c r="D36" s="41">
        <v>4.3343845611960408</v>
      </c>
      <c r="E36" s="3">
        <v>8.1</v>
      </c>
      <c r="F36" s="3">
        <v>0.44306999999999996</v>
      </c>
      <c r="G36" s="3">
        <v>0.99833333300000004</v>
      </c>
      <c r="H36" s="3">
        <v>4.8767037037037033</v>
      </c>
      <c r="I36" s="57">
        <v>1.4513999118165784E-2</v>
      </c>
      <c r="J36" s="57">
        <v>5.6552579366071422E-2</v>
      </c>
      <c r="K36" s="31">
        <v>0.2566461031638359</v>
      </c>
    </row>
    <row r="37" spans="1:11" x14ac:dyDescent="0.2">
      <c r="A37" s="11">
        <v>108</v>
      </c>
      <c r="B37" s="7">
        <v>7</v>
      </c>
      <c r="C37" s="12">
        <v>5.26</v>
      </c>
      <c r="D37" s="27">
        <v>5.0604535010771166</v>
      </c>
      <c r="E37" s="12">
        <v>3.6</v>
      </c>
      <c r="F37" s="12">
        <v>0.19692000000000001</v>
      </c>
      <c r="G37" s="12">
        <v>6.385530159</v>
      </c>
      <c r="H37" s="12">
        <v>1.7770370370370372</v>
      </c>
      <c r="I37" s="56">
        <v>1.0577601410934745E-2</v>
      </c>
      <c r="J37" s="56">
        <v>8.1038510958333337E-2</v>
      </c>
      <c r="K37" s="30">
        <v>0.13052561412898261</v>
      </c>
    </row>
    <row r="38" spans="1:11" x14ac:dyDescent="0.2">
      <c r="A38" s="11">
        <v>108</v>
      </c>
      <c r="B38" s="7">
        <v>8</v>
      </c>
      <c r="C38" s="12">
        <v>5.31</v>
      </c>
      <c r="D38" s="27">
        <v>4.8834305128608904</v>
      </c>
      <c r="E38" s="12">
        <v>4.5999999999999996</v>
      </c>
      <c r="F38" s="12">
        <v>0.25161999999999995</v>
      </c>
      <c r="G38" s="12">
        <v>6.2029777780000002</v>
      </c>
      <c r="H38" s="12">
        <v>2.2835185185185178</v>
      </c>
      <c r="I38" s="56">
        <v>1.1893325617283948E-2</v>
      </c>
      <c r="J38" s="56">
        <v>7.1859490739583323E-2</v>
      </c>
      <c r="K38" s="30">
        <v>0.16550806991361805</v>
      </c>
    </row>
    <row r="39" spans="1:11" x14ac:dyDescent="0.2">
      <c r="A39" s="11">
        <v>108</v>
      </c>
      <c r="B39" s="7">
        <v>9</v>
      </c>
      <c r="C39" s="12">
        <v>4.79</v>
      </c>
      <c r="D39" s="27">
        <v>4.5144464722499258</v>
      </c>
      <c r="E39" s="12">
        <v>5.7</v>
      </c>
      <c r="F39" s="12">
        <v>0.31179000000000001</v>
      </c>
      <c r="G39" s="12">
        <v>5.5621428570000004</v>
      </c>
      <c r="H39" s="12">
        <v>2.8406481481481483</v>
      </c>
      <c r="I39" s="56">
        <v>1.3151148834019204E-2</v>
      </c>
      <c r="J39" s="56">
        <v>6.684193121759259E-2</v>
      </c>
      <c r="K39" s="30">
        <v>0.19674998304893176</v>
      </c>
    </row>
    <row r="40" spans="1:11" x14ac:dyDescent="0.2">
      <c r="A40" s="11">
        <v>108</v>
      </c>
      <c r="B40" s="7">
        <v>10</v>
      </c>
      <c r="C40" s="12">
        <v>4.6100000000000003</v>
      </c>
      <c r="D40" s="27">
        <v>4.3239339610196996</v>
      </c>
      <c r="E40" s="12">
        <v>7.1</v>
      </c>
      <c r="F40" s="12">
        <v>0.38836999999999999</v>
      </c>
      <c r="G40" s="12">
        <v>4.2424412699999996</v>
      </c>
      <c r="H40" s="12">
        <v>3.5497222222222224</v>
      </c>
      <c r="I40" s="56">
        <v>1.479050925925926E-2</v>
      </c>
      <c r="J40" s="56">
        <v>6.5656494708333332E-2</v>
      </c>
      <c r="K40" s="30">
        <v>0.22527107676039249</v>
      </c>
    </row>
    <row r="41" spans="1:11" x14ac:dyDescent="0.2">
      <c r="A41" s="11">
        <v>108</v>
      </c>
      <c r="B41" s="7">
        <v>11</v>
      </c>
      <c r="C41" s="12">
        <v>4.2699999999999996</v>
      </c>
      <c r="D41" s="27">
        <v>4.3950785861684958</v>
      </c>
      <c r="E41" s="12">
        <v>7.1</v>
      </c>
      <c r="F41" s="12">
        <v>0.38836999999999999</v>
      </c>
      <c r="G41" s="12">
        <v>4.4078793650000003</v>
      </c>
      <c r="H41" s="12">
        <v>3.5497222222222224</v>
      </c>
      <c r="I41" s="56">
        <v>1.3445917508417509E-2</v>
      </c>
      <c r="J41" s="56">
        <v>5.9061063011363636E-2</v>
      </c>
      <c r="K41" s="30">
        <v>0.22766128516566742</v>
      </c>
    </row>
    <row r="42" spans="1:11" x14ac:dyDescent="0.2">
      <c r="A42" s="11">
        <v>108</v>
      </c>
      <c r="B42" s="7">
        <v>13</v>
      </c>
      <c r="C42" s="12">
        <v>4</v>
      </c>
      <c r="D42" s="27">
        <v>4.2999756617850124</v>
      </c>
      <c r="E42" s="12">
        <v>9.1</v>
      </c>
      <c r="F42" s="12">
        <v>0.49776999999999999</v>
      </c>
      <c r="G42" s="12">
        <v>2.7325809520000002</v>
      </c>
      <c r="H42" s="12">
        <v>4.5626851851851846</v>
      </c>
      <c r="I42" s="56">
        <v>1.4623990978157643E-2</v>
      </c>
      <c r="J42" s="56">
        <v>5.5344291820512821E-2</v>
      </c>
      <c r="K42" s="30">
        <v>0.26423666284473807</v>
      </c>
    </row>
    <row r="43" spans="1:11" x14ac:dyDescent="0.2">
      <c r="A43" s="14">
        <v>108</v>
      </c>
      <c r="B43" s="2">
        <v>14</v>
      </c>
      <c r="C43" s="3">
        <v>4</v>
      </c>
      <c r="D43" s="41">
        <v>4.3451032805692833</v>
      </c>
      <c r="E43" s="3">
        <v>8.3000000000000007</v>
      </c>
      <c r="F43" s="3">
        <v>0.45401000000000002</v>
      </c>
      <c r="G43" s="3">
        <v>1.7855904760000001</v>
      </c>
      <c r="H43" s="3">
        <v>4.1575000000000006</v>
      </c>
      <c r="I43" s="57">
        <v>1.2373511904761906E-2</v>
      </c>
      <c r="J43" s="57">
        <v>5.4209552154761906E-2</v>
      </c>
      <c r="K43" s="31">
        <v>0.22825335043235523</v>
      </c>
    </row>
    <row r="44" spans="1:11" x14ac:dyDescent="0.2">
      <c r="A44" s="11">
        <v>126</v>
      </c>
      <c r="B44" s="7">
        <v>7</v>
      </c>
      <c r="C44" s="12">
        <v>5.93</v>
      </c>
      <c r="D44" s="27">
        <v>5.1357984370502621</v>
      </c>
      <c r="E44" s="12">
        <v>1.8087499999999999</v>
      </c>
      <c r="F44" s="12">
        <v>9.8938624999999988E-2</v>
      </c>
      <c r="G44" s="12">
        <v>8.9526730160000003</v>
      </c>
      <c r="H44" s="12">
        <v>0.73893088624338621</v>
      </c>
      <c r="I44" s="56">
        <v>4.3983981324011087E-3</v>
      </c>
      <c r="J44" s="56">
        <v>6.5757898714285709E-2</v>
      </c>
      <c r="K44" s="30">
        <v>6.688775369042578E-2</v>
      </c>
    </row>
    <row r="45" spans="1:11" x14ac:dyDescent="0.2">
      <c r="A45" s="11">
        <v>126</v>
      </c>
      <c r="B45" s="7">
        <v>8</v>
      </c>
      <c r="C45" s="12">
        <v>5.59</v>
      </c>
      <c r="D45" s="27">
        <v>5.0488619235684498</v>
      </c>
      <c r="E45" s="12">
        <v>3.3</v>
      </c>
      <c r="F45" s="12">
        <v>0.18050999999999998</v>
      </c>
      <c r="G45" s="12">
        <v>6.0698666670000003</v>
      </c>
      <c r="H45" s="12">
        <v>1.3863227513227512</v>
      </c>
      <c r="I45" s="56">
        <v>7.2204309964726621E-3</v>
      </c>
      <c r="J45" s="56">
        <v>7.2552777776041674E-2</v>
      </c>
      <c r="K45" s="30">
        <v>9.9519704383489338E-2</v>
      </c>
    </row>
    <row r="46" spans="1:11" x14ac:dyDescent="0.2">
      <c r="A46" s="11">
        <v>126</v>
      </c>
      <c r="B46" s="7">
        <v>9</v>
      </c>
      <c r="C46" s="12">
        <v>5.23</v>
      </c>
      <c r="D46" s="27">
        <v>4.6132970731996998</v>
      </c>
      <c r="E46" s="12">
        <v>5.8</v>
      </c>
      <c r="F46" s="12">
        <v>0.31725999999999999</v>
      </c>
      <c r="G46" s="12">
        <v>5.7808253970000001</v>
      </c>
      <c r="H46" s="12">
        <v>2.4716402116402114</v>
      </c>
      <c r="I46" s="56">
        <v>1.1442778757593572E-2</v>
      </c>
      <c r="J46" s="56">
        <v>6.5829512050925923E-2</v>
      </c>
      <c r="K46" s="30">
        <v>0.17382445047961773</v>
      </c>
    </row>
    <row r="47" spans="1:11" x14ac:dyDescent="0.2">
      <c r="A47" s="11">
        <v>126</v>
      </c>
      <c r="B47" s="7">
        <v>10</v>
      </c>
      <c r="C47" s="12">
        <v>5.07</v>
      </c>
      <c r="D47" s="27">
        <v>4.4347139569528879</v>
      </c>
      <c r="E47" s="12">
        <v>5.9</v>
      </c>
      <c r="F47" s="12">
        <v>0.32273000000000002</v>
      </c>
      <c r="G47" s="12">
        <v>5.7713174599999997</v>
      </c>
      <c r="H47" s="12">
        <v>2.5150529100529098</v>
      </c>
      <c r="I47" s="56">
        <v>1.0479387125220457E-2</v>
      </c>
      <c r="J47" s="56">
        <v>5.9286177250000002E-2</v>
      </c>
      <c r="K47" s="30">
        <v>0.17675936637018466</v>
      </c>
    </row>
    <row r="48" spans="1:11" x14ac:dyDescent="0.2">
      <c r="A48" s="11">
        <v>126</v>
      </c>
      <c r="B48" s="7">
        <v>11</v>
      </c>
      <c r="C48" s="12">
        <v>4.5599999999999996</v>
      </c>
      <c r="D48" s="27">
        <v>4.2992562519415065</v>
      </c>
      <c r="E48" s="12">
        <v>7.6</v>
      </c>
      <c r="F48" s="12">
        <v>0.41571999999999998</v>
      </c>
      <c r="G48" s="12">
        <v>4.8737682539999998</v>
      </c>
      <c r="H48" s="12">
        <v>3.2530687830687826</v>
      </c>
      <c r="I48" s="56">
        <v>1.2322230238896904E-2</v>
      </c>
      <c r="J48" s="56">
        <v>5.7296332371212122E-2</v>
      </c>
      <c r="K48" s="30">
        <v>0.21506141368811357</v>
      </c>
    </row>
    <row r="49" spans="1:11" x14ac:dyDescent="0.2">
      <c r="A49" s="11">
        <v>126</v>
      </c>
      <c r="B49" s="7">
        <v>13</v>
      </c>
      <c r="C49" s="12">
        <v>4.2</v>
      </c>
      <c r="D49" s="27">
        <v>4.3012909786337392</v>
      </c>
      <c r="E49" s="12">
        <v>8.5</v>
      </c>
      <c r="F49" s="12">
        <v>0.46494999999999997</v>
      </c>
      <c r="G49" s="12">
        <v>3.2802380950000001</v>
      </c>
      <c r="H49" s="12">
        <v>3.6437830687830686</v>
      </c>
      <c r="I49" s="56">
        <v>1.167879188712522E-2</v>
      </c>
      <c r="J49" s="56">
        <v>5.3588980464743585E-2</v>
      </c>
      <c r="K49" s="30">
        <v>0.21793271276748297</v>
      </c>
    </row>
    <row r="50" spans="1:11" x14ac:dyDescent="0.2">
      <c r="A50" s="14">
        <v>126</v>
      </c>
      <c r="B50" s="2">
        <v>14</v>
      </c>
      <c r="C50" s="3">
        <v>4.2300000000000004</v>
      </c>
      <c r="D50" s="41">
        <v>4.3257736931230832</v>
      </c>
      <c r="E50" s="3">
        <v>7.4</v>
      </c>
      <c r="F50" s="3">
        <v>0.40478000000000003</v>
      </c>
      <c r="G50" s="3">
        <v>3.4428238100000002</v>
      </c>
      <c r="H50" s="3">
        <v>3.1662433862433863</v>
      </c>
      <c r="I50" s="57">
        <v>9.4233434114386495E-3</v>
      </c>
      <c r="J50" s="57">
        <v>4.9277310089285715E-2</v>
      </c>
      <c r="K50" s="31">
        <v>0.19123088079208186</v>
      </c>
    </row>
  </sheetData>
  <conditionalFormatting sqref="C2:C50">
    <cfRule type="colorScale" priority="10">
      <colorScale>
        <cfvo type="min"/>
        <cfvo type="max"/>
        <color theme="0"/>
        <color rgb="FF5CA8CA"/>
      </colorScale>
    </cfRule>
  </conditionalFormatting>
  <conditionalFormatting sqref="D2:D50">
    <cfRule type="colorScale" priority="11">
      <colorScale>
        <cfvo type="min"/>
        <cfvo type="max"/>
        <color rgb="FF61B5BE"/>
        <color theme="0"/>
      </colorScale>
    </cfRule>
  </conditionalFormatting>
  <conditionalFormatting sqref="E2:E50">
    <cfRule type="colorScale" priority="1">
      <colorScale>
        <cfvo type="min"/>
        <cfvo type="max"/>
        <color rgb="FFFCFCFF"/>
        <color rgb="FF60BEA7"/>
      </colorScale>
    </cfRule>
  </conditionalFormatting>
  <conditionalFormatting sqref="F2:F50">
    <cfRule type="colorScale" priority="4">
      <colorScale>
        <cfvo type="min"/>
        <cfvo type="max"/>
        <color rgb="FFFCFCFF"/>
        <color rgb="FF54BE86"/>
      </colorScale>
    </cfRule>
  </conditionalFormatting>
  <conditionalFormatting sqref="G2:G50">
    <cfRule type="colorScale" priority="13">
      <colorScale>
        <cfvo type="min"/>
        <cfvo type="max"/>
        <color rgb="FFFCFCFF"/>
        <color rgb="FF7CBE72"/>
      </colorScale>
    </cfRule>
  </conditionalFormatting>
  <conditionalFormatting sqref="H2:H50">
    <cfRule type="colorScale" priority="2">
      <colorScale>
        <cfvo type="min"/>
        <cfvo type="max"/>
        <color rgb="FFFCFCFF"/>
        <color rgb="FFA5BD64"/>
      </colorScale>
    </cfRule>
  </conditionalFormatting>
  <conditionalFormatting sqref="I2:I50">
    <cfRule type="colorScale" priority="6">
      <colorScale>
        <cfvo type="min"/>
        <cfvo type="max"/>
        <color rgb="FFFCFCFF"/>
        <color rgb="FFC0AC64"/>
      </colorScale>
    </cfRule>
  </conditionalFormatting>
  <conditionalFormatting sqref="J2:J50">
    <cfRule type="colorScale" priority="7">
      <colorScale>
        <cfvo type="min"/>
        <cfvo type="max"/>
        <color rgb="FFFCFCFF"/>
        <color rgb="FFC68B5D"/>
      </colorScale>
    </cfRule>
  </conditionalFormatting>
  <conditionalFormatting sqref="K2:K50">
    <cfRule type="colorScale" priority="3">
      <colorScale>
        <cfvo type="min"/>
        <cfvo type="max"/>
        <color rgb="FFFCFCFF"/>
        <color rgb="FFCA6768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6A83A-D642-9A41-B3BD-A1672A70EAAA}">
  <dimension ref="A1:Q50"/>
  <sheetViews>
    <sheetView workbookViewId="0">
      <selection activeCell="G21" sqref="G21"/>
    </sheetView>
  </sheetViews>
  <sheetFormatPr baseColWidth="10" defaultColWidth="11.5" defaultRowHeight="15" x14ac:dyDescent="0.2"/>
  <cols>
    <col min="15" max="15" width="31.5" customWidth="1"/>
  </cols>
  <sheetData>
    <row r="1" spans="1:17" x14ac:dyDescent="0.2">
      <c r="A1" s="8" t="s">
        <v>27</v>
      </c>
      <c r="B1" s="9" t="s">
        <v>15</v>
      </c>
      <c r="C1" s="9" t="s">
        <v>6</v>
      </c>
      <c r="D1" s="9" t="s">
        <v>25</v>
      </c>
      <c r="E1" s="9" t="s">
        <v>19</v>
      </c>
      <c r="F1" s="9" t="s">
        <v>65</v>
      </c>
      <c r="G1" s="9" t="s">
        <v>68</v>
      </c>
      <c r="H1" s="9" t="s">
        <v>28</v>
      </c>
      <c r="I1" s="9" t="s">
        <v>29</v>
      </c>
      <c r="J1" s="9" t="s">
        <v>30</v>
      </c>
      <c r="K1" s="9" t="s">
        <v>31</v>
      </c>
      <c r="L1" s="32" t="s">
        <v>32</v>
      </c>
      <c r="O1" s="48" t="s">
        <v>61</v>
      </c>
      <c r="P1" s="48" t="s">
        <v>60</v>
      </c>
      <c r="Q1" s="48" t="s">
        <v>59</v>
      </c>
    </row>
    <row r="2" spans="1:17" x14ac:dyDescent="0.2">
      <c r="A2" s="11">
        <v>18</v>
      </c>
      <c r="B2" s="7">
        <v>7</v>
      </c>
      <c r="C2" s="6">
        <f>B2*24</f>
        <v>168</v>
      </c>
      <c r="D2" s="38">
        <v>0.37</v>
      </c>
      <c r="E2" s="12">
        <v>4.4800000000000004</v>
      </c>
      <c r="F2" s="27">
        <f t="shared" ref="F2:F33" si="0">LN(Q2)</f>
        <v>4.944381524983803</v>
      </c>
      <c r="G2" s="12">
        <v>0.18050999999999998</v>
      </c>
      <c r="H2" s="12">
        <v>2.483473016</v>
      </c>
      <c r="I2" s="12">
        <v>9.9820370370370366</v>
      </c>
      <c r="J2" s="56">
        <f>I2/A2</f>
        <v>0.55455761316872421</v>
      </c>
      <c r="K2" s="12">
        <f>(20-H2)/C2</f>
        <v>0.10426504157142856</v>
      </c>
      <c r="L2" s="30">
        <f>(G2-(5/18*A2/6/1000))*1000/A2/(20-H2)</f>
        <v>0.56986393742063479</v>
      </c>
      <c r="O2" s="27">
        <f>P2^2*PI()/(A2/1000)*10000/1000</f>
        <v>2.7463032793544748</v>
      </c>
      <c r="P2" s="49">
        <v>3.9667567000000001E-2</v>
      </c>
      <c r="Q2">
        <v>140.38399999999999</v>
      </c>
    </row>
    <row r="3" spans="1:17" x14ac:dyDescent="0.2">
      <c r="A3" s="11">
        <v>18</v>
      </c>
      <c r="B3" s="7">
        <v>8</v>
      </c>
      <c r="C3" s="7">
        <f t="shared" ref="C3:C50" si="1">B3*24</f>
        <v>192</v>
      </c>
      <c r="D3" s="7">
        <v>0.37</v>
      </c>
      <c r="E3" s="12">
        <v>4.2699999999999996</v>
      </c>
      <c r="F3" s="27">
        <f t="shared" si="0"/>
        <v>4.678848065665302</v>
      </c>
      <c r="G3" s="12">
        <v>0.19692000000000001</v>
      </c>
      <c r="H3" s="12">
        <v>0.56667301599999997</v>
      </c>
      <c r="I3" s="12">
        <v>10.893703703703704</v>
      </c>
      <c r="J3" s="56">
        <f>I3/A3</f>
        <v>0.60520576131687243</v>
      </c>
      <c r="K3" s="12">
        <f t="shared" ref="K3:K50" si="2">(20-H3)/C3</f>
        <v>0.10121524470833333</v>
      </c>
      <c r="L3" s="30">
        <f t="shared" ref="L3:L50" si="3">(G3-(5/18*A3/6/1000))*1000/A3/(20-H3)</f>
        <v>0.56056812673778367</v>
      </c>
      <c r="O3" s="27">
        <f t="shared" ref="O3:O50" si="4">P3^2*PI()/(A3/1000)*10000/1000</f>
        <v>2.7463032793544748</v>
      </c>
      <c r="P3" s="49">
        <v>3.9667567000000001E-2</v>
      </c>
      <c r="Q3">
        <v>107.646</v>
      </c>
    </row>
    <row r="4" spans="1:17" x14ac:dyDescent="0.2">
      <c r="A4" s="11">
        <v>18</v>
      </c>
      <c r="B4" s="7">
        <v>9</v>
      </c>
      <c r="C4" s="7">
        <f t="shared" si="1"/>
        <v>216</v>
      </c>
      <c r="D4" s="7">
        <v>0.37</v>
      </c>
      <c r="E4" s="12">
        <v>3.77</v>
      </c>
      <c r="F4" s="27">
        <f t="shared" si="0"/>
        <v>4.5958266709849385</v>
      </c>
      <c r="G4" s="12">
        <v>0.20239000000000001</v>
      </c>
      <c r="H4" s="12">
        <v>0.72640634900000001</v>
      </c>
      <c r="I4" s="12">
        <v>11.197592592592594</v>
      </c>
      <c r="J4" s="56">
        <f t="shared" ref="J4:J48" si="5">I4/A4</f>
        <v>0.62208847736625517</v>
      </c>
      <c r="K4" s="12">
        <f t="shared" si="2"/>
        <v>8.9229600236111109E-2</v>
      </c>
      <c r="L4" s="30">
        <f t="shared" si="3"/>
        <v>0.58098104563969644</v>
      </c>
      <c r="M4">
        <f>L4*0.0547</f>
        <v>3.1779663196491392E-2</v>
      </c>
      <c r="O4" s="27">
        <f>P4^2*PI()/(A4/1000)*10000/1000</f>
        <v>2.7463032793544748</v>
      </c>
      <c r="P4" s="49">
        <v>3.9667567000000001E-2</v>
      </c>
      <c r="Q4">
        <v>99.07</v>
      </c>
    </row>
    <row r="5" spans="1:17" x14ac:dyDescent="0.2">
      <c r="A5" s="11">
        <v>18</v>
      </c>
      <c r="B5" s="7">
        <v>10</v>
      </c>
      <c r="C5" s="7">
        <f t="shared" si="1"/>
        <v>240</v>
      </c>
      <c r="D5" s="7">
        <v>0.37</v>
      </c>
      <c r="E5" s="12">
        <v>4.7300000000000004</v>
      </c>
      <c r="F5" s="27">
        <f>LN(Q5)</f>
        <v>4.633942271081847</v>
      </c>
      <c r="G5" s="12">
        <v>0.13674999999999998</v>
      </c>
      <c r="H5" s="12">
        <v>0.57618095199999997</v>
      </c>
      <c r="I5" s="12">
        <v>7.5509259259259256</v>
      </c>
      <c r="J5" s="56">
        <f t="shared" si="5"/>
        <v>0.41949588477366251</v>
      </c>
      <c r="K5" s="12">
        <f t="shared" si="2"/>
        <v>8.093257936666666E-2</v>
      </c>
      <c r="L5" s="30">
        <f t="shared" si="3"/>
        <v>0.38874568936552245</v>
      </c>
      <c r="O5" s="27">
        <f t="shared" si="4"/>
        <v>2.7463032793544748</v>
      </c>
      <c r="P5" s="49">
        <v>3.9667567000000001E-2</v>
      </c>
      <c r="Q5">
        <v>102.919</v>
      </c>
    </row>
    <row r="6" spans="1:17" x14ac:dyDescent="0.2">
      <c r="A6" s="11">
        <v>18</v>
      </c>
      <c r="B6" s="7">
        <v>11</v>
      </c>
      <c r="C6" s="7">
        <f t="shared" si="1"/>
        <v>264</v>
      </c>
      <c r="D6" s="7">
        <v>0.37</v>
      </c>
      <c r="E6" s="12">
        <v>5.09</v>
      </c>
      <c r="F6" s="27">
        <f t="shared" si="0"/>
        <v>4.6331938298943101</v>
      </c>
      <c r="G6" s="12">
        <v>0.17504</v>
      </c>
      <c r="H6" s="12">
        <v>0.59709841299999999</v>
      </c>
      <c r="I6" s="12">
        <v>9.6781481481481482</v>
      </c>
      <c r="J6" s="56">
        <f t="shared" si="5"/>
        <v>0.53767489711934158</v>
      </c>
      <c r="K6" s="12">
        <f t="shared" si="2"/>
        <v>7.3495839344696959E-2</v>
      </c>
      <c r="L6" s="30">
        <f t="shared" si="3"/>
        <v>0.49879901234115087</v>
      </c>
      <c r="O6" s="27">
        <f t="shared" si="4"/>
        <v>2.7463032793544748</v>
      </c>
      <c r="P6" s="49">
        <v>3.9667567000000001E-2</v>
      </c>
      <c r="Q6">
        <v>102.842</v>
      </c>
    </row>
    <row r="7" spans="1:17" x14ac:dyDescent="0.2">
      <c r="A7" s="11">
        <v>18</v>
      </c>
      <c r="B7" s="7">
        <v>13</v>
      </c>
      <c r="C7" s="7">
        <f t="shared" si="1"/>
        <v>312</v>
      </c>
      <c r="D7" s="7">
        <v>0.37</v>
      </c>
      <c r="E7" s="12">
        <v>5.23</v>
      </c>
      <c r="F7" s="27">
        <f t="shared" si="0"/>
        <v>4.6304187415744895</v>
      </c>
      <c r="G7" s="12">
        <v>0.15315999999999999</v>
      </c>
      <c r="H7" s="12">
        <v>0.58949206300000001</v>
      </c>
      <c r="I7" s="12">
        <v>8.4625925925925927</v>
      </c>
      <c r="J7" s="56">
        <f t="shared" si="5"/>
        <v>0.47014403292181073</v>
      </c>
      <c r="K7" s="12">
        <f t="shared" si="2"/>
        <v>6.2213166464743584E-2</v>
      </c>
      <c r="L7" s="30">
        <f t="shared" si="3"/>
        <v>0.4359799661121353</v>
      </c>
      <c r="O7" s="27">
        <f t="shared" si="4"/>
        <v>2.7463032793544748</v>
      </c>
      <c r="P7" s="49">
        <v>3.9667567000000001E-2</v>
      </c>
      <c r="Q7">
        <v>102.557</v>
      </c>
    </row>
    <row r="8" spans="1:17" x14ac:dyDescent="0.2">
      <c r="A8" s="14">
        <v>18</v>
      </c>
      <c r="B8" s="2">
        <v>14</v>
      </c>
      <c r="C8" s="2">
        <f t="shared" si="1"/>
        <v>336</v>
      </c>
      <c r="D8" s="2">
        <v>0.37</v>
      </c>
      <c r="E8" s="3">
        <v>5.68</v>
      </c>
      <c r="F8" s="41">
        <f t="shared" si="0"/>
        <v>4.5895284899981341</v>
      </c>
      <c r="G8" s="3">
        <v>9.8460000000000006E-2</v>
      </c>
      <c r="H8" s="3">
        <v>0.59044285699999999</v>
      </c>
      <c r="I8" s="3">
        <v>5.4237037037037039</v>
      </c>
      <c r="J8" s="57">
        <f t="shared" si="5"/>
        <v>0.30131687242798355</v>
      </c>
      <c r="K8" s="3">
        <f t="shared" si="2"/>
        <v>5.7766539116071429E-2</v>
      </c>
      <c r="L8" s="31">
        <f t="shared" si="3"/>
        <v>0.27943469620375894</v>
      </c>
      <c r="O8" s="27">
        <f t="shared" si="4"/>
        <v>2.7463032793544748</v>
      </c>
      <c r="P8" s="49">
        <v>3.9667567000000001E-2</v>
      </c>
      <c r="Q8">
        <v>98.447999999999993</v>
      </c>
    </row>
    <row r="9" spans="1:17" x14ac:dyDescent="0.2">
      <c r="A9" s="11">
        <v>36</v>
      </c>
      <c r="B9" s="7">
        <v>7</v>
      </c>
      <c r="C9" s="6">
        <f>B9*24</f>
        <v>168</v>
      </c>
      <c r="D9" s="7">
        <v>0.73</v>
      </c>
      <c r="E9" s="12">
        <v>3.56</v>
      </c>
      <c r="F9" s="27">
        <f t="shared" si="0"/>
        <v>4.6236582241002226</v>
      </c>
      <c r="G9" s="12">
        <v>0.23520999999999997</v>
      </c>
      <c r="H9" s="12">
        <v>2.7059587299999999</v>
      </c>
      <c r="I9" s="12">
        <v>6.4873148148148134</v>
      </c>
      <c r="J9" s="56">
        <f t="shared" si="5"/>
        <v>0.18020318930041149</v>
      </c>
      <c r="K9" s="12">
        <f t="shared" si="2"/>
        <v>0.1029407218452381</v>
      </c>
      <c r="L9" s="30">
        <f t="shared" si="3"/>
        <v>0.37511849969205102</v>
      </c>
      <c r="O9" s="27">
        <f t="shared" si="4"/>
        <v>1.3846816378859692</v>
      </c>
      <c r="P9" s="49">
        <v>3.9833757999999997E-2</v>
      </c>
      <c r="Q9">
        <v>101.866</v>
      </c>
    </row>
    <row r="10" spans="1:17" x14ac:dyDescent="0.2">
      <c r="A10" s="11">
        <v>36</v>
      </c>
      <c r="B10" s="7">
        <v>8</v>
      </c>
      <c r="C10" s="7">
        <f t="shared" si="1"/>
        <v>192</v>
      </c>
      <c r="D10" s="7">
        <v>0.73</v>
      </c>
      <c r="E10" s="12">
        <v>3.67</v>
      </c>
      <c r="F10" s="27">
        <f t="shared" si="0"/>
        <v>4.6152294218019883</v>
      </c>
      <c r="G10" s="12">
        <v>0.28444000000000003</v>
      </c>
      <c r="H10" s="12">
        <v>1.327307937</v>
      </c>
      <c r="I10" s="12">
        <v>7.8548148148148158</v>
      </c>
      <c r="J10" s="56">
        <f t="shared" si="5"/>
        <v>0.21818930041152265</v>
      </c>
      <c r="K10" s="12">
        <f t="shared" si="2"/>
        <v>9.7253604494791659E-2</v>
      </c>
      <c r="L10" s="30">
        <f t="shared" si="3"/>
        <v>0.42065786702385338</v>
      </c>
      <c r="O10" s="27">
        <f t="shared" si="4"/>
        <v>1.3846816378859692</v>
      </c>
      <c r="P10" s="49">
        <v>3.9833757999999997E-2</v>
      </c>
      <c r="Q10">
        <v>101.011</v>
      </c>
    </row>
    <row r="11" spans="1:17" x14ac:dyDescent="0.2">
      <c r="A11" s="11">
        <v>36</v>
      </c>
      <c r="B11" s="7">
        <v>9</v>
      </c>
      <c r="C11" s="7">
        <f t="shared" si="1"/>
        <v>216</v>
      </c>
      <c r="D11" s="7">
        <v>0.73</v>
      </c>
      <c r="E11" s="12">
        <v>3.7</v>
      </c>
      <c r="F11" s="27">
        <f t="shared" si="0"/>
        <v>4.5473715672607193</v>
      </c>
      <c r="G11" s="12">
        <v>0.30085000000000001</v>
      </c>
      <c r="H11" s="12">
        <v>0.67316190499999995</v>
      </c>
      <c r="I11" s="12">
        <v>8.3106481481481485</v>
      </c>
      <c r="J11" s="56">
        <f t="shared" si="5"/>
        <v>0.23085133744855968</v>
      </c>
      <c r="K11" s="12">
        <f t="shared" si="2"/>
        <v>8.9476102291666665E-2</v>
      </c>
      <c r="L11" s="30">
        <f t="shared" si="3"/>
        <v>0.43000557604392498</v>
      </c>
      <c r="O11" s="27">
        <f t="shared" si="4"/>
        <v>1.3846816378859692</v>
      </c>
      <c r="P11" s="49">
        <v>3.9833757999999997E-2</v>
      </c>
      <c r="Q11">
        <v>94.384</v>
      </c>
    </row>
    <row r="12" spans="1:17" x14ac:dyDescent="0.2">
      <c r="A12" s="11">
        <v>36</v>
      </c>
      <c r="B12" s="7">
        <v>10</v>
      </c>
      <c r="C12" s="7">
        <f t="shared" si="1"/>
        <v>240</v>
      </c>
      <c r="D12" s="7">
        <v>0.73</v>
      </c>
      <c r="E12" s="12">
        <v>3.89</v>
      </c>
      <c r="F12" s="27">
        <f t="shared" si="0"/>
        <v>4.4115247554626933</v>
      </c>
      <c r="G12" s="12">
        <v>0.30085000000000001</v>
      </c>
      <c r="H12" s="12">
        <v>0.56096825400000006</v>
      </c>
      <c r="I12" s="12">
        <v>8.3106481481481485</v>
      </c>
      <c r="J12" s="56">
        <f t="shared" si="5"/>
        <v>0.23085133744855968</v>
      </c>
      <c r="K12" s="12">
        <f t="shared" si="2"/>
        <v>8.0995965608333345E-2</v>
      </c>
      <c r="L12" s="30">
        <f t="shared" si="3"/>
        <v>0.42752377056322483</v>
      </c>
      <c r="O12" s="27">
        <f t="shared" si="4"/>
        <v>1.3846816378859692</v>
      </c>
      <c r="P12" s="49">
        <v>3.9833757999999997E-2</v>
      </c>
      <c r="Q12">
        <v>82.394999999999996</v>
      </c>
    </row>
    <row r="13" spans="1:17" x14ac:dyDescent="0.2">
      <c r="A13" s="11">
        <v>36</v>
      </c>
      <c r="B13" s="7">
        <v>11</v>
      </c>
      <c r="C13" s="7">
        <f t="shared" si="1"/>
        <v>264</v>
      </c>
      <c r="D13" s="7">
        <v>0.73</v>
      </c>
      <c r="E13" s="12">
        <v>4.01</v>
      </c>
      <c r="F13" s="27">
        <f t="shared" si="0"/>
        <v>4.4222204319195404</v>
      </c>
      <c r="G13" s="12">
        <v>0.26802999999999999</v>
      </c>
      <c r="H13" s="12">
        <v>0.57808254000000003</v>
      </c>
      <c r="I13" s="12">
        <v>7.3989814814814814</v>
      </c>
      <c r="J13" s="56">
        <f t="shared" si="5"/>
        <v>0.2055272633744856</v>
      </c>
      <c r="K13" s="12">
        <f t="shared" si="2"/>
        <v>7.3567869166666661E-2</v>
      </c>
      <c r="L13" s="30">
        <f t="shared" si="3"/>
        <v>0.38096040191293662</v>
      </c>
      <c r="O13" s="27">
        <f t="shared" si="4"/>
        <v>1.3846816378859692</v>
      </c>
      <c r="P13" s="49">
        <v>3.9833757999999997E-2</v>
      </c>
      <c r="Q13">
        <v>83.281000000000006</v>
      </c>
    </row>
    <row r="14" spans="1:17" x14ac:dyDescent="0.2">
      <c r="A14" s="11">
        <v>36</v>
      </c>
      <c r="B14" s="7">
        <v>13</v>
      </c>
      <c r="C14" s="7">
        <f t="shared" si="1"/>
        <v>312</v>
      </c>
      <c r="D14" s="7">
        <v>0.73</v>
      </c>
      <c r="E14" s="12">
        <v>4.78</v>
      </c>
      <c r="F14" s="27">
        <f t="shared" si="0"/>
        <v>4.3731624637354107</v>
      </c>
      <c r="G14" s="12">
        <v>0.21332999999999999</v>
      </c>
      <c r="H14" s="12">
        <v>0.58949206300000001</v>
      </c>
      <c r="I14" s="12">
        <v>5.8795370370370366</v>
      </c>
      <c r="J14" s="56">
        <f t="shared" si="5"/>
        <v>0.1633204732510288</v>
      </c>
      <c r="K14" s="12">
        <f t="shared" si="2"/>
        <v>6.2213166464743584E-2</v>
      </c>
      <c r="L14" s="30">
        <f t="shared" si="3"/>
        <v>0.30290485216152213</v>
      </c>
      <c r="O14" s="27">
        <f t="shared" si="4"/>
        <v>1.3846816378859692</v>
      </c>
      <c r="P14" s="49">
        <v>3.9833757999999997E-2</v>
      </c>
      <c r="Q14">
        <v>79.293999999999997</v>
      </c>
    </row>
    <row r="15" spans="1:17" x14ac:dyDescent="0.2">
      <c r="A15" s="14">
        <v>36</v>
      </c>
      <c r="B15" s="2">
        <v>14</v>
      </c>
      <c r="C15" s="2">
        <f t="shared" si="1"/>
        <v>336</v>
      </c>
      <c r="D15" s="2">
        <v>0.73</v>
      </c>
      <c r="E15" s="3">
        <v>4.9800000000000004</v>
      </c>
      <c r="F15" s="41">
        <f t="shared" si="0"/>
        <v>4.4720501373214701</v>
      </c>
      <c r="G15" s="3">
        <v>0.14769000000000002</v>
      </c>
      <c r="H15" s="3">
        <v>0.59899999999999998</v>
      </c>
      <c r="I15" s="3">
        <v>4.0562037037037042</v>
      </c>
      <c r="J15" s="57">
        <f t="shared" si="5"/>
        <v>0.11267232510288067</v>
      </c>
      <c r="K15" s="3">
        <f t="shared" si="2"/>
        <v>5.7741071428571426E-2</v>
      </c>
      <c r="L15" s="31">
        <f t="shared" si="3"/>
        <v>0.20907188823791065</v>
      </c>
      <c r="O15" s="27">
        <f t="shared" si="4"/>
        <v>1.3846816378859692</v>
      </c>
      <c r="P15" s="49">
        <v>3.9833757999999997E-2</v>
      </c>
      <c r="Q15">
        <v>87.536000000000001</v>
      </c>
    </row>
    <row r="16" spans="1:17" x14ac:dyDescent="0.2">
      <c r="A16" s="11">
        <v>54</v>
      </c>
      <c r="B16" s="7">
        <v>7</v>
      </c>
      <c r="C16" s="6">
        <f>B16*24</f>
        <v>168</v>
      </c>
      <c r="D16" s="7">
        <v>1.0900000000000001</v>
      </c>
      <c r="E16" s="12">
        <v>4.03</v>
      </c>
      <c r="F16" s="27">
        <f t="shared" si="0"/>
        <v>4.6759641012881703</v>
      </c>
      <c r="G16" s="12">
        <v>0.25708999999999999</v>
      </c>
      <c r="H16" s="12">
        <v>4.4192888889999997</v>
      </c>
      <c r="I16" s="12">
        <v>4.7146296296296288</v>
      </c>
      <c r="J16" s="56">
        <f t="shared" si="5"/>
        <v>8.7307956104252391E-2</v>
      </c>
      <c r="K16" s="12">
        <f t="shared" si="2"/>
        <v>9.2742328041666669E-2</v>
      </c>
      <c r="L16" s="30">
        <f t="shared" si="3"/>
        <v>0.30259399561686856</v>
      </c>
      <c r="O16" s="27">
        <f t="shared" si="4"/>
        <v>0.93077594640010297</v>
      </c>
      <c r="P16" s="49">
        <v>3.9998575000000001E-2</v>
      </c>
      <c r="Q16">
        <v>107.336</v>
      </c>
    </row>
    <row r="17" spans="1:17" x14ac:dyDescent="0.2">
      <c r="A17" s="11">
        <v>54</v>
      </c>
      <c r="B17" s="7">
        <v>8</v>
      </c>
      <c r="C17" s="7">
        <f t="shared" si="1"/>
        <v>192</v>
      </c>
      <c r="D17" s="7">
        <v>1.0900000000000001</v>
      </c>
      <c r="E17" s="12">
        <v>3.82</v>
      </c>
      <c r="F17" s="27">
        <f t="shared" si="0"/>
        <v>4.5373409229604409</v>
      </c>
      <c r="G17" s="12">
        <v>0.30631999999999998</v>
      </c>
      <c r="H17" s="12">
        <v>4.0865111110000001</v>
      </c>
      <c r="I17" s="12">
        <v>5.6262962962962959</v>
      </c>
      <c r="J17" s="56">
        <f t="shared" si="5"/>
        <v>0.1041906721536351</v>
      </c>
      <c r="K17" s="12">
        <f t="shared" si="2"/>
        <v>8.2882754630208333E-2</v>
      </c>
      <c r="L17" s="30">
        <f t="shared" si="3"/>
        <v>0.35355517168742318</v>
      </c>
      <c r="O17" s="27">
        <f t="shared" si="4"/>
        <v>0.93077594640010297</v>
      </c>
      <c r="P17" s="49">
        <v>3.9998575000000001E-2</v>
      </c>
      <c r="Q17">
        <v>93.441999999999993</v>
      </c>
    </row>
    <row r="18" spans="1:17" x14ac:dyDescent="0.2">
      <c r="A18" s="11">
        <v>54</v>
      </c>
      <c r="B18" s="7">
        <v>9</v>
      </c>
      <c r="C18" s="7">
        <f t="shared" si="1"/>
        <v>216</v>
      </c>
      <c r="D18" s="7">
        <v>1.0900000000000001</v>
      </c>
      <c r="E18" s="12">
        <v>3.84</v>
      </c>
      <c r="F18" s="27">
        <f t="shared" si="0"/>
        <v>4.4476505041078465</v>
      </c>
      <c r="G18" s="12">
        <v>0.34460999999999997</v>
      </c>
      <c r="H18" s="12">
        <v>1.840736508</v>
      </c>
      <c r="I18" s="12">
        <v>6.3353703703703692</v>
      </c>
      <c r="J18" s="56">
        <f t="shared" si="5"/>
        <v>0.1173216735253772</v>
      </c>
      <c r="K18" s="12">
        <f t="shared" si="2"/>
        <v>8.4070664314814816E-2</v>
      </c>
      <c r="L18" s="30">
        <f t="shared" si="3"/>
        <v>0.34887815649359316</v>
      </c>
      <c r="O18" s="27">
        <f t="shared" si="4"/>
        <v>0.93077594640010297</v>
      </c>
      <c r="P18" s="49">
        <v>3.9998575000000001E-2</v>
      </c>
      <c r="Q18">
        <v>85.426000000000002</v>
      </c>
    </row>
    <row r="19" spans="1:17" x14ac:dyDescent="0.2">
      <c r="A19" s="11">
        <v>54</v>
      </c>
      <c r="B19" s="7">
        <v>10</v>
      </c>
      <c r="C19" s="7">
        <f t="shared" si="1"/>
        <v>240</v>
      </c>
      <c r="D19" s="7">
        <v>1.0900000000000001</v>
      </c>
      <c r="E19" s="12">
        <v>3.76</v>
      </c>
      <c r="F19" s="27">
        <f t="shared" si="0"/>
        <v>4.4428865229306442</v>
      </c>
      <c r="G19" s="12">
        <v>0.33914</v>
      </c>
      <c r="H19" s="12">
        <v>1.306390476</v>
      </c>
      <c r="I19" s="12">
        <v>6.2340740740740737</v>
      </c>
      <c r="J19" s="56">
        <f t="shared" si="5"/>
        <v>0.11544581618655692</v>
      </c>
      <c r="K19" s="12">
        <f t="shared" si="2"/>
        <v>7.7890039683333329E-2</v>
      </c>
      <c r="L19" s="30">
        <f t="shared" si="3"/>
        <v>0.33348690984854412</v>
      </c>
      <c r="O19" s="27">
        <f t="shared" si="4"/>
        <v>0.93077594640010297</v>
      </c>
      <c r="P19" s="49">
        <v>3.9998575000000001E-2</v>
      </c>
      <c r="Q19">
        <v>85.02</v>
      </c>
    </row>
    <row r="20" spans="1:17" x14ac:dyDescent="0.2">
      <c r="A20" s="11">
        <v>54</v>
      </c>
      <c r="B20" s="7">
        <v>11</v>
      </c>
      <c r="C20" s="7">
        <f t="shared" si="1"/>
        <v>264</v>
      </c>
      <c r="D20" s="7">
        <v>1.0900000000000001</v>
      </c>
      <c r="E20" s="12">
        <v>3.83</v>
      </c>
      <c r="F20" s="27">
        <f t="shared" si="0"/>
        <v>4.4175264917121089</v>
      </c>
      <c r="G20" s="12">
        <v>0.36101999999999995</v>
      </c>
      <c r="H20" s="12">
        <v>0.63513015900000003</v>
      </c>
      <c r="I20" s="12">
        <v>6.6392592592592576</v>
      </c>
      <c r="J20" s="56">
        <f t="shared" si="5"/>
        <v>0.1229492455418381</v>
      </c>
      <c r="K20" s="12">
        <f t="shared" si="2"/>
        <v>7.3351779700757583E-2</v>
      </c>
      <c r="L20" s="30">
        <f t="shared" si="3"/>
        <v>0.34285070407250445</v>
      </c>
      <c r="O20" s="27">
        <f t="shared" si="4"/>
        <v>0.93077594640010297</v>
      </c>
      <c r="P20" s="49">
        <v>3.9998575000000001E-2</v>
      </c>
      <c r="Q20">
        <v>82.891000000000005</v>
      </c>
    </row>
    <row r="21" spans="1:17" x14ac:dyDescent="0.2">
      <c r="A21" s="11">
        <v>54</v>
      </c>
      <c r="B21" s="7">
        <v>13</v>
      </c>
      <c r="C21" s="7">
        <f t="shared" si="1"/>
        <v>312</v>
      </c>
      <c r="D21" s="7">
        <v>1.0900000000000001</v>
      </c>
      <c r="E21" s="12">
        <v>4.4400000000000004</v>
      </c>
      <c r="F21" s="27">
        <f t="shared" si="0"/>
        <v>4.3677628894099332</v>
      </c>
      <c r="G21" s="12">
        <v>0.32273000000000002</v>
      </c>
      <c r="H21" s="12">
        <v>0.59519682500000004</v>
      </c>
      <c r="I21" s="12">
        <v>5.9301851851851852</v>
      </c>
      <c r="J21" s="56">
        <f t="shared" si="5"/>
        <v>0.10981824417009602</v>
      </c>
      <c r="K21" s="12">
        <f t="shared" si="2"/>
        <v>6.2194881971153852E-2</v>
      </c>
      <c r="L21" s="30">
        <f t="shared" si="3"/>
        <v>0.30560398534860095</v>
      </c>
      <c r="O21" s="27">
        <f t="shared" si="4"/>
        <v>0.93077594640010297</v>
      </c>
      <c r="P21" s="49">
        <v>3.9998575000000001E-2</v>
      </c>
      <c r="Q21">
        <v>78.867000000000004</v>
      </c>
    </row>
    <row r="22" spans="1:17" x14ac:dyDescent="0.2">
      <c r="A22" s="14">
        <v>54</v>
      </c>
      <c r="B22" s="2">
        <v>14</v>
      </c>
      <c r="C22" s="2">
        <f t="shared" si="1"/>
        <v>336</v>
      </c>
      <c r="D22" s="2">
        <v>1.0900000000000001</v>
      </c>
      <c r="E22" s="3">
        <v>4.37</v>
      </c>
      <c r="F22" s="41">
        <f t="shared" si="0"/>
        <v>4.2007145681731011</v>
      </c>
      <c r="G22" s="3">
        <v>0.25708999999999999</v>
      </c>
      <c r="H22" s="3">
        <v>0.613261905</v>
      </c>
      <c r="I22" s="3">
        <v>4.7146296296296288</v>
      </c>
      <c r="J22" s="57">
        <f t="shared" si="5"/>
        <v>8.7307956104252391E-2</v>
      </c>
      <c r="K22" s="3">
        <f t="shared" si="2"/>
        <v>5.7698625282738093E-2</v>
      </c>
      <c r="L22" s="31">
        <f t="shared" si="3"/>
        <v>0.24318839025558256</v>
      </c>
      <c r="O22" s="27">
        <f t="shared" si="4"/>
        <v>0.93077594640010297</v>
      </c>
      <c r="P22" s="49">
        <v>3.9998575000000001E-2</v>
      </c>
      <c r="Q22">
        <v>66.733999999999995</v>
      </c>
    </row>
    <row r="23" spans="1:17" x14ac:dyDescent="0.2">
      <c r="A23" s="35">
        <v>72</v>
      </c>
      <c r="B23" s="6">
        <v>7</v>
      </c>
      <c r="C23" s="6">
        <f>B23*24</f>
        <v>168</v>
      </c>
      <c r="D23" s="6">
        <v>1.44</v>
      </c>
      <c r="E23" s="36">
        <v>4.24</v>
      </c>
      <c r="F23" s="27">
        <f t="shared" si="0"/>
        <v>4.5515267637911894</v>
      </c>
      <c r="G23" s="36">
        <v>0.26255999999999996</v>
      </c>
      <c r="H23" s="36">
        <v>5.5317174600000003</v>
      </c>
      <c r="I23" s="36">
        <v>3.6003703703703698</v>
      </c>
      <c r="J23" s="58">
        <f t="shared" si="5"/>
        <v>5.0005144032921806E-2</v>
      </c>
      <c r="K23" s="36">
        <f t="shared" si="2"/>
        <v>8.6120729404761912E-2</v>
      </c>
      <c r="L23" s="30">
        <f t="shared" si="3"/>
        <v>0.24884573275484081</v>
      </c>
      <c r="O23" s="27">
        <f t="shared" si="4"/>
        <v>0.70380022670242037</v>
      </c>
      <c r="P23" s="49">
        <v>4.0162062999999998E-2</v>
      </c>
      <c r="Q23">
        <v>94.777000000000001</v>
      </c>
    </row>
    <row r="24" spans="1:17" x14ac:dyDescent="0.2">
      <c r="A24" s="11">
        <v>72</v>
      </c>
      <c r="B24" s="7">
        <v>8</v>
      </c>
      <c r="C24" s="7">
        <f t="shared" si="1"/>
        <v>192</v>
      </c>
      <c r="D24" s="7">
        <v>1.44</v>
      </c>
      <c r="E24" s="12">
        <v>4.18</v>
      </c>
      <c r="F24" s="27">
        <f t="shared" si="0"/>
        <v>4.5503654706136576</v>
      </c>
      <c r="G24" s="12">
        <v>0.30631999999999998</v>
      </c>
      <c r="H24" s="12">
        <v>6.0147206349999998</v>
      </c>
      <c r="I24" s="12">
        <v>4.2081481481481475</v>
      </c>
      <c r="J24" s="56">
        <f t="shared" si="5"/>
        <v>5.8446502057613162E-2</v>
      </c>
      <c r="K24" s="12">
        <f t="shared" si="2"/>
        <v>7.2839996692708339E-2</v>
      </c>
      <c r="L24" s="30">
        <f t="shared" si="3"/>
        <v>0.30089839740202767</v>
      </c>
      <c r="O24" s="27">
        <f t="shared" si="4"/>
        <v>0.70380022670242037</v>
      </c>
      <c r="P24" s="49">
        <v>4.0162062999999998E-2</v>
      </c>
      <c r="Q24">
        <v>94.667000000000002</v>
      </c>
    </row>
    <row r="25" spans="1:17" x14ac:dyDescent="0.2">
      <c r="A25" s="11">
        <v>72</v>
      </c>
      <c r="B25" s="7">
        <v>9</v>
      </c>
      <c r="C25" s="7">
        <f t="shared" si="1"/>
        <v>216</v>
      </c>
      <c r="D25" s="7">
        <v>1.44</v>
      </c>
      <c r="E25" s="12">
        <v>4</v>
      </c>
      <c r="F25" s="27">
        <f t="shared" si="0"/>
        <v>4.4328860849646903</v>
      </c>
      <c r="G25" s="12">
        <v>0.33366999999999997</v>
      </c>
      <c r="H25" s="12">
        <v>3.590196825</v>
      </c>
      <c r="I25" s="12">
        <v>4.5880092592592581</v>
      </c>
      <c r="J25" s="56">
        <f t="shared" si="5"/>
        <v>6.3722350823045254E-2</v>
      </c>
      <c r="K25" s="12">
        <f t="shared" si="2"/>
        <v>7.597131099537037E-2</v>
      </c>
      <c r="L25" s="30">
        <f t="shared" si="3"/>
        <v>0.27958953622606492</v>
      </c>
      <c r="O25" s="27">
        <f t="shared" si="4"/>
        <v>0.70380022670242037</v>
      </c>
      <c r="P25" s="49">
        <v>4.0162062999999998E-2</v>
      </c>
      <c r="Q25">
        <v>84.174000000000007</v>
      </c>
    </row>
    <row r="26" spans="1:17" x14ac:dyDescent="0.2">
      <c r="A26" s="11">
        <v>72</v>
      </c>
      <c r="B26" s="7">
        <v>10</v>
      </c>
      <c r="C26" s="7">
        <f t="shared" si="1"/>
        <v>240</v>
      </c>
      <c r="D26" s="7">
        <v>1.44</v>
      </c>
      <c r="E26" s="12">
        <v>3.96</v>
      </c>
      <c r="F26" s="27">
        <f t="shared" si="0"/>
        <v>4.3863298624937164</v>
      </c>
      <c r="G26" s="12">
        <v>0.32819999999999999</v>
      </c>
      <c r="H26" s="12">
        <v>2.5348158729999999</v>
      </c>
      <c r="I26" s="12">
        <v>4.512037037037036</v>
      </c>
      <c r="J26" s="56">
        <f t="shared" si="5"/>
        <v>6.2667181069958833E-2</v>
      </c>
      <c r="K26" s="12">
        <f t="shared" si="2"/>
        <v>7.2771600529166675E-2</v>
      </c>
      <c r="L26" s="30">
        <f t="shared" si="3"/>
        <v>0.25834465896421499</v>
      </c>
      <c r="O26" s="27">
        <f t="shared" si="4"/>
        <v>0.70380022670242037</v>
      </c>
      <c r="P26" s="49">
        <v>4.0162062999999998E-2</v>
      </c>
      <c r="Q26">
        <v>80.344999999999999</v>
      </c>
    </row>
    <row r="27" spans="1:17" x14ac:dyDescent="0.2">
      <c r="A27" s="11">
        <v>72</v>
      </c>
      <c r="B27" s="7">
        <v>11</v>
      </c>
      <c r="C27" s="7">
        <f t="shared" si="1"/>
        <v>264</v>
      </c>
      <c r="D27" s="7">
        <v>1.44</v>
      </c>
      <c r="E27" s="12">
        <v>3.89</v>
      </c>
      <c r="F27" s="27">
        <f t="shared" si="0"/>
        <v>4.4135858619149513</v>
      </c>
      <c r="G27" s="12">
        <v>0.34460999999999997</v>
      </c>
      <c r="H27" s="12">
        <v>2.6831396829999998</v>
      </c>
      <c r="I27" s="12">
        <v>4.7399537037037032</v>
      </c>
      <c r="J27" s="56">
        <f t="shared" si="5"/>
        <v>6.5832690329218096E-2</v>
      </c>
      <c r="K27" s="12">
        <f t="shared" si="2"/>
        <v>6.5594167867424238E-2</v>
      </c>
      <c r="L27" s="30">
        <f t="shared" si="3"/>
        <v>0.27371900084280754</v>
      </c>
      <c r="O27" s="27">
        <f t="shared" si="4"/>
        <v>0.70380022670242037</v>
      </c>
      <c r="P27" s="49">
        <v>4.0162062999999998E-2</v>
      </c>
      <c r="Q27">
        <v>82.564999999999998</v>
      </c>
    </row>
    <row r="28" spans="1:17" x14ac:dyDescent="0.2">
      <c r="A28" s="11">
        <v>72</v>
      </c>
      <c r="B28" s="7">
        <v>13</v>
      </c>
      <c r="C28" s="7">
        <f t="shared" si="1"/>
        <v>312</v>
      </c>
      <c r="D28" s="7">
        <v>1.44</v>
      </c>
      <c r="E28" s="12">
        <v>3.83</v>
      </c>
      <c r="F28" s="27">
        <f t="shared" si="0"/>
        <v>4.3742086537458142</v>
      </c>
      <c r="G28" s="12">
        <v>0.41025</v>
      </c>
      <c r="H28" s="12">
        <v>0.67696507900000003</v>
      </c>
      <c r="I28" s="12">
        <v>5.6516203703703702</v>
      </c>
      <c r="J28" s="56">
        <f t="shared" si="5"/>
        <v>7.8494727366255138E-2</v>
      </c>
      <c r="K28" s="12">
        <f t="shared" si="2"/>
        <v>6.1932804233974362E-2</v>
      </c>
      <c r="L28" s="30">
        <f t="shared" si="3"/>
        <v>0.29248098932058902</v>
      </c>
      <c r="O28" s="27">
        <f t="shared" si="4"/>
        <v>0.70380022670242037</v>
      </c>
      <c r="P28" s="49">
        <v>4.0162062999999998E-2</v>
      </c>
      <c r="Q28">
        <v>79.376999999999995</v>
      </c>
    </row>
    <row r="29" spans="1:17" x14ac:dyDescent="0.2">
      <c r="A29" s="14">
        <v>72</v>
      </c>
      <c r="B29" s="2">
        <v>14</v>
      </c>
      <c r="C29" s="2">
        <f t="shared" si="1"/>
        <v>336</v>
      </c>
      <c r="D29" s="2">
        <v>1.44</v>
      </c>
      <c r="E29" s="3">
        <v>4.04</v>
      </c>
      <c r="F29" s="41">
        <f t="shared" si="0"/>
        <v>4.329614293334151</v>
      </c>
      <c r="G29" s="3">
        <v>0.36648999999999998</v>
      </c>
      <c r="H29" s="3">
        <v>0.58759047600000003</v>
      </c>
      <c r="I29" s="3">
        <v>5.0438425925925925</v>
      </c>
      <c r="J29" s="57">
        <f t="shared" si="5"/>
        <v>7.0053369341563781E-2</v>
      </c>
      <c r="K29" s="3">
        <f t="shared" si="2"/>
        <v>5.7775028345238101E-2</v>
      </c>
      <c r="L29" s="31">
        <f t="shared" si="3"/>
        <v>0.25982568451158916</v>
      </c>
      <c r="O29" s="27">
        <f t="shared" si="4"/>
        <v>0.70380022670242037</v>
      </c>
      <c r="P29" s="49">
        <v>4.0162062999999998E-2</v>
      </c>
      <c r="Q29">
        <v>75.915000000000006</v>
      </c>
    </row>
    <row r="30" spans="1:17" x14ac:dyDescent="0.2">
      <c r="A30" s="11">
        <v>90</v>
      </c>
      <c r="B30" s="7">
        <v>7</v>
      </c>
      <c r="C30" s="6">
        <f>B30*24</f>
        <v>168</v>
      </c>
      <c r="D30" s="7">
        <v>1.8</v>
      </c>
      <c r="E30" s="12">
        <v>4.55</v>
      </c>
      <c r="F30" s="27">
        <f t="shared" si="0"/>
        <v>4.5928951551124788</v>
      </c>
      <c r="G30" s="12">
        <v>0.22426999999999997</v>
      </c>
      <c r="H30" s="12">
        <v>7.4161904759999997</v>
      </c>
      <c r="I30" s="12">
        <v>2.4455925925925923</v>
      </c>
      <c r="J30" s="56">
        <f t="shared" si="5"/>
        <v>2.7173251028806581E-2</v>
      </c>
      <c r="K30" s="12">
        <f t="shared" si="2"/>
        <v>7.4903628119047619E-2</v>
      </c>
      <c r="L30" s="30">
        <f t="shared" si="3"/>
        <v>0.19434437464492191</v>
      </c>
      <c r="O30" s="27">
        <f t="shared" si="4"/>
        <v>0.56759601250754166</v>
      </c>
      <c r="P30" s="49">
        <v>4.0324221E-2</v>
      </c>
      <c r="Q30">
        <v>98.78</v>
      </c>
    </row>
    <row r="31" spans="1:17" x14ac:dyDescent="0.2">
      <c r="A31" s="11">
        <v>90</v>
      </c>
      <c r="B31" s="7">
        <v>8</v>
      </c>
      <c r="C31" s="7">
        <f t="shared" si="1"/>
        <v>192</v>
      </c>
      <c r="D31" s="7">
        <v>1.8</v>
      </c>
      <c r="E31" s="12">
        <v>4.7</v>
      </c>
      <c r="F31" s="27">
        <f t="shared" si="0"/>
        <v>4.646254546087488</v>
      </c>
      <c r="G31" s="12">
        <v>0.32273000000000002</v>
      </c>
      <c r="H31" s="12">
        <v>5.8587904760000002</v>
      </c>
      <c r="I31" s="12">
        <v>3.5395925925925931</v>
      </c>
      <c r="J31" s="56">
        <f t="shared" si="5"/>
        <v>3.9328806584362143E-2</v>
      </c>
      <c r="K31" s="12">
        <f t="shared" si="2"/>
        <v>7.3652132937500003E-2</v>
      </c>
      <c r="L31" s="30">
        <f t="shared" si="3"/>
        <v>0.25030338363810478</v>
      </c>
      <c r="O31" s="27">
        <f t="shared" si="4"/>
        <v>0.56759601250754166</v>
      </c>
      <c r="P31" s="49">
        <v>4.0324221E-2</v>
      </c>
      <c r="Q31">
        <v>104.194</v>
      </c>
    </row>
    <row r="32" spans="1:17" x14ac:dyDescent="0.2">
      <c r="A32" s="11">
        <v>90</v>
      </c>
      <c r="B32" s="7">
        <v>9</v>
      </c>
      <c r="C32" s="7">
        <f t="shared" si="1"/>
        <v>216</v>
      </c>
      <c r="D32" s="7">
        <v>1.8</v>
      </c>
      <c r="E32" s="12">
        <v>4.42</v>
      </c>
      <c r="F32" s="27">
        <f t="shared" si="0"/>
        <v>4.4930647522037832</v>
      </c>
      <c r="G32" s="12">
        <v>0.30631999999999998</v>
      </c>
      <c r="H32" s="12">
        <v>6.1117015869999998</v>
      </c>
      <c r="I32" s="12">
        <v>3.3572592592592589</v>
      </c>
      <c r="J32" s="56">
        <f t="shared" si="5"/>
        <v>3.7302880658436212E-2</v>
      </c>
      <c r="K32" s="12">
        <f t="shared" si="2"/>
        <v>6.4297677837962974E-2</v>
      </c>
      <c r="L32" s="30">
        <f t="shared" si="3"/>
        <v>0.24173294376485535</v>
      </c>
      <c r="O32" s="27">
        <f t="shared" si="4"/>
        <v>0.56759601250754166</v>
      </c>
      <c r="P32" s="49">
        <v>4.0324221E-2</v>
      </c>
      <c r="Q32">
        <v>89.394999999999996</v>
      </c>
    </row>
    <row r="33" spans="1:17" x14ac:dyDescent="0.2">
      <c r="A33" s="11">
        <v>90</v>
      </c>
      <c r="B33" s="7">
        <v>10</v>
      </c>
      <c r="C33" s="7">
        <f t="shared" si="1"/>
        <v>240</v>
      </c>
      <c r="D33" s="7">
        <v>1.8</v>
      </c>
      <c r="E33" s="12">
        <v>4.18</v>
      </c>
      <c r="F33" s="27">
        <f t="shared" si="0"/>
        <v>4.3047000267263478</v>
      </c>
      <c r="G33" s="12">
        <v>0.35554999999999998</v>
      </c>
      <c r="H33" s="12">
        <v>3.9933333329999998</v>
      </c>
      <c r="I33" s="12">
        <v>3.9042592592592591</v>
      </c>
      <c r="J33" s="56">
        <f t="shared" si="5"/>
        <v>4.3380658436213991E-2</v>
      </c>
      <c r="K33" s="12">
        <f t="shared" si="2"/>
        <v>6.6694444445833334E-2</v>
      </c>
      <c r="L33" s="30">
        <f t="shared" si="3"/>
        <v>0.24391457262669433</v>
      </c>
      <c r="O33" s="27">
        <f t="shared" si="4"/>
        <v>0.56759601250754166</v>
      </c>
      <c r="P33" s="49">
        <v>4.0324221E-2</v>
      </c>
      <c r="Q33">
        <v>74.046999999999997</v>
      </c>
    </row>
    <row r="34" spans="1:17" x14ac:dyDescent="0.2">
      <c r="A34" s="11">
        <v>90</v>
      </c>
      <c r="B34" s="7">
        <v>11</v>
      </c>
      <c r="C34" s="7">
        <f t="shared" si="1"/>
        <v>264</v>
      </c>
      <c r="D34" s="7">
        <v>1.8</v>
      </c>
      <c r="E34" s="12">
        <v>4.0599999999999996</v>
      </c>
      <c r="F34" s="27">
        <f t="shared" ref="F34:F50" si="6">LN(Q34)</f>
        <v>4.3404491465068231</v>
      </c>
      <c r="G34" s="12">
        <v>0.35554999999999998</v>
      </c>
      <c r="H34" s="12">
        <v>3.8583206350000001</v>
      </c>
      <c r="I34" s="12">
        <v>3.9042592592592591</v>
      </c>
      <c r="J34" s="56">
        <f t="shared" si="5"/>
        <v>4.3380658436213991E-2</v>
      </c>
      <c r="K34" s="12">
        <f t="shared" si="2"/>
        <v>6.1142724867424246E-2</v>
      </c>
      <c r="L34" s="30">
        <f t="shared" si="3"/>
        <v>0.24187441535512488</v>
      </c>
      <c r="O34" s="27">
        <f t="shared" si="4"/>
        <v>0.56759601250754166</v>
      </c>
      <c r="P34" s="49">
        <v>4.0324221E-2</v>
      </c>
      <c r="Q34">
        <v>76.742000000000004</v>
      </c>
    </row>
    <row r="35" spans="1:17" x14ac:dyDescent="0.2">
      <c r="A35" s="11">
        <v>90</v>
      </c>
      <c r="B35" s="7">
        <v>13</v>
      </c>
      <c r="C35" s="7">
        <f t="shared" si="1"/>
        <v>312</v>
      </c>
      <c r="D35" s="7">
        <v>1.8</v>
      </c>
      <c r="E35" s="12">
        <v>4.01</v>
      </c>
      <c r="F35" s="27">
        <f t="shared" si="6"/>
        <v>4.3829886717677642</v>
      </c>
      <c r="G35" s="12">
        <v>0.43213000000000001</v>
      </c>
      <c r="H35" s="12">
        <v>1.7893936509999999</v>
      </c>
      <c r="I35" s="12">
        <v>4.7551481481481481</v>
      </c>
      <c r="J35" s="56">
        <f t="shared" si="5"/>
        <v>5.2834979423868313E-2</v>
      </c>
      <c r="K35" s="12">
        <f t="shared" si="2"/>
        <v>5.8367328041666666E-2</v>
      </c>
      <c r="L35" s="30">
        <f t="shared" si="3"/>
        <v>0.26111970447427019</v>
      </c>
      <c r="O35" s="27">
        <f t="shared" si="4"/>
        <v>0.56759601250754166</v>
      </c>
      <c r="P35" s="49">
        <v>4.0324221E-2</v>
      </c>
      <c r="Q35">
        <v>80.076999999999998</v>
      </c>
    </row>
    <row r="36" spans="1:17" x14ac:dyDescent="0.2">
      <c r="A36" s="14">
        <v>90</v>
      </c>
      <c r="B36" s="2">
        <v>14</v>
      </c>
      <c r="C36" s="2">
        <f t="shared" si="1"/>
        <v>336</v>
      </c>
      <c r="D36" s="2">
        <v>1.8</v>
      </c>
      <c r="E36" s="3">
        <v>3.98</v>
      </c>
      <c r="F36" s="41">
        <f t="shared" si="6"/>
        <v>4.3343845611960408</v>
      </c>
      <c r="G36" s="3">
        <v>0.44306999999999996</v>
      </c>
      <c r="H36" s="3">
        <v>0.99833333300000004</v>
      </c>
      <c r="I36" s="3">
        <v>4.8767037037037033</v>
      </c>
      <c r="J36" s="57">
        <f t="shared" si="5"/>
        <v>5.4185596707818924E-2</v>
      </c>
      <c r="K36" s="3">
        <f t="shared" si="2"/>
        <v>5.6552579366071422E-2</v>
      </c>
      <c r="L36" s="31">
        <f t="shared" si="3"/>
        <v>0.2566461031638359</v>
      </c>
      <c r="O36" s="27">
        <f t="shared" si="4"/>
        <v>0.56759601250754166</v>
      </c>
      <c r="P36" s="49">
        <v>4.0324221E-2</v>
      </c>
      <c r="Q36">
        <v>76.278000000000006</v>
      </c>
    </row>
    <row r="37" spans="1:17" x14ac:dyDescent="0.2">
      <c r="A37" s="11">
        <v>108</v>
      </c>
      <c r="B37" s="7">
        <v>7</v>
      </c>
      <c r="C37" s="6">
        <f>B37*24</f>
        <v>168</v>
      </c>
      <c r="D37" s="7">
        <v>2.15</v>
      </c>
      <c r="E37" s="12">
        <v>5.26</v>
      </c>
      <c r="F37" s="27">
        <f t="shared" si="6"/>
        <v>5.0604535010771166</v>
      </c>
      <c r="G37" s="12">
        <v>0.19692000000000001</v>
      </c>
      <c r="H37" s="12">
        <v>6.385530159</v>
      </c>
      <c r="I37" s="12">
        <v>1.7770370370370372</v>
      </c>
      <c r="J37" s="56">
        <f t="shared" si="5"/>
        <v>1.6454046639231827E-2</v>
      </c>
      <c r="K37" s="12">
        <f t="shared" si="2"/>
        <v>8.1038510958333337E-2</v>
      </c>
      <c r="L37" s="30">
        <f t="shared" si="3"/>
        <v>0.13052561412898261</v>
      </c>
      <c r="O37" s="27">
        <f t="shared" si="4"/>
        <v>0.476777198201908</v>
      </c>
      <c r="P37" s="49">
        <v>4.0485050000000002E-2</v>
      </c>
      <c r="Q37">
        <v>157.66200000000001</v>
      </c>
    </row>
    <row r="38" spans="1:17" x14ac:dyDescent="0.2">
      <c r="A38" s="11">
        <v>108</v>
      </c>
      <c r="B38" s="7">
        <v>8</v>
      </c>
      <c r="C38" s="7">
        <f t="shared" si="1"/>
        <v>192</v>
      </c>
      <c r="D38" s="7">
        <v>2.15</v>
      </c>
      <c r="E38" s="12">
        <v>5.31</v>
      </c>
      <c r="F38" s="27">
        <f t="shared" si="6"/>
        <v>4.8834305128608904</v>
      </c>
      <c r="G38" s="12">
        <v>0.25161999999999995</v>
      </c>
      <c r="H38" s="12">
        <v>6.2029777780000002</v>
      </c>
      <c r="I38" s="12">
        <v>2.2835185185185178</v>
      </c>
      <c r="J38" s="56">
        <f t="shared" si="5"/>
        <v>2.1143689986282573E-2</v>
      </c>
      <c r="K38" s="12">
        <f t="shared" si="2"/>
        <v>7.1859490739583323E-2</v>
      </c>
      <c r="L38" s="30">
        <f t="shared" si="3"/>
        <v>0.16550806991361805</v>
      </c>
      <c r="O38" s="27">
        <f t="shared" si="4"/>
        <v>0.476777198201908</v>
      </c>
      <c r="P38" s="49">
        <v>4.0485050000000002E-2</v>
      </c>
      <c r="Q38">
        <v>132.083</v>
      </c>
    </row>
    <row r="39" spans="1:17" x14ac:dyDescent="0.2">
      <c r="A39" s="11">
        <v>108</v>
      </c>
      <c r="B39" s="7">
        <v>9</v>
      </c>
      <c r="C39" s="7">
        <f t="shared" si="1"/>
        <v>216</v>
      </c>
      <c r="D39" s="7">
        <v>2.15</v>
      </c>
      <c r="E39" s="12">
        <v>4.79</v>
      </c>
      <c r="F39" s="27">
        <f t="shared" si="6"/>
        <v>4.5144464722499258</v>
      </c>
      <c r="G39" s="12">
        <v>0.31179000000000001</v>
      </c>
      <c r="H39" s="12">
        <v>5.5621428570000004</v>
      </c>
      <c r="I39" s="12">
        <v>2.8406481481481483</v>
      </c>
      <c r="J39" s="56">
        <f t="shared" si="5"/>
        <v>2.6302297668038408E-2</v>
      </c>
      <c r="K39" s="12">
        <f t="shared" si="2"/>
        <v>6.684193121759259E-2</v>
      </c>
      <c r="L39" s="30">
        <f t="shared" si="3"/>
        <v>0.19674998304893176</v>
      </c>
      <c r="O39" s="27">
        <f t="shared" si="4"/>
        <v>0.476777198201908</v>
      </c>
      <c r="P39" s="49">
        <v>4.0485050000000002E-2</v>
      </c>
      <c r="Q39">
        <v>91.326999999999998</v>
      </c>
    </row>
    <row r="40" spans="1:17" x14ac:dyDescent="0.2">
      <c r="A40" s="11">
        <v>108</v>
      </c>
      <c r="B40" s="7">
        <v>10</v>
      </c>
      <c r="C40" s="7">
        <f t="shared" si="1"/>
        <v>240</v>
      </c>
      <c r="D40" s="7">
        <v>2.15</v>
      </c>
      <c r="E40" s="12">
        <v>4.6100000000000003</v>
      </c>
      <c r="F40" s="27">
        <f t="shared" si="6"/>
        <v>4.3239339610196996</v>
      </c>
      <c r="G40" s="12">
        <v>0.38836999999999999</v>
      </c>
      <c r="H40" s="12">
        <v>4.2424412699999996</v>
      </c>
      <c r="I40" s="12">
        <v>3.5497222222222224</v>
      </c>
      <c r="J40" s="56">
        <f t="shared" si="5"/>
        <v>3.2867798353909468E-2</v>
      </c>
      <c r="K40" s="12">
        <f t="shared" si="2"/>
        <v>6.5656494708333332E-2</v>
      </c>
      <c r="L40" s="30">
        <f t="shared" si="3"/>
        <v>0.22527107676039249</v>
      </c>
      <c r="O40" s="27">
        <f t="shared" si="4"/>
        <v>0.476777198201908</v>
      </c>
      <c r="P40" s="49">
        <v>4.0485050000000002E-2</v>
      </c>
      <c r="Q40">
        <v>75.484999999999999</v>
      </c>
    </row>
    <row r="41" spans="1:17" x14ac:dyDescent="0.2">
      <c r="A41" s="11">
        <v>108</v>
      </c>
      <c r="B41" s="7">
        <v>11</v>
      </c>
      <c r="C41" s="7">
        <f t="shared" si="1"/>
        <v>264</v>
      </c>
      <c r="D41" s="7">
        <v>2.15</v>
      </c>
      <c r="E41" s="12">
        <v>4.2699999999999996</v>
      </c>
      <c r="F41" s="27">
        <f t="shared" si="6"/>
        <v>4.3950785861684958</v>
      </c>
      <c r="G41" s="12">
        <v>0.38836999999999999</v>
      </c>
      <c r="H41" s="12">
        <v>4.4078793650000003</v>
      </c>
      <c r="I41" s="12">
        <v>3.5497222222222224</v>
      </c>
      <c r="J41" s="56">
        <f t="shared" si="5"/>
        <v>3.2867798353909468E-2</v>
      </c>
      <c r="K41" s="12">
        <f t="shared" si="2"/>
        <v>5.9061063011363636E-2</v>
      </c>
      <c r="L41" s="30">
        <f t="shared" si="3"/>
        <v>0.22766128516566742</v>
      </c>
      <c r="O41" s="27">
        <f t="shared" si="4"/>
        <v>0.476777198201908</v>
      </c>
      <c r="P41" s="49">
        <v>4.0485050000000002E-2</v>
      </c>
      <c r="Q41">
        <v>81.051000000000002</v>
      </c>
    </row>
    <row r="42" spans="1:17" x14ac:dyDescent="0.2">
      <c r="A42" s="11">
        <v>108</v>
      </c>
      <c r="B42" s="7">
        <v>13</v>
      </c>
      <c r="C42" s="7">
        <f t="shared" si="1"/>
        <v>312</v>
      </c>
      <c r="D42" s="7">
        <v>2.15</v>
      </c>
      <c r="E42" s="12">
        <v>4</v>
      </c>
      <c r="F42" s="27">
        <f t="shared" si="6"/>
        <v>4.2999756617850124</v>
      </c>
      <c r="G42" s="12">
        <v>0.49776999999999999</v>
      </c>
      <c r="H42" s="12">
        <v>2.7325809520000002</v>
      </c>
      <c r="I42" s="12">
        <v>4.5626851851851846</v>
      </c>
      <c r="J42" s="56">
        <f t="shared" si="5"/>
        <v>4.2247085048010967E-2</v>
      </c>
      <c r="K42" s="12">
        <f t="shared" si="2"/>
        <v>5.5344291820512821E-2</v>
      </c>
      <c r="L42" s="30">
        <f t="shared" si="3"/>
        <v>0.26423666284473807</v>
      </c>
      <c r="O42" s="27">
        <f t="shared" si="4"/>
        <v>0.476777198201908</v>
      </c>
      <c r="P42" s="49">
        <v>4.0485050000000002E-2</v>
      </c>
      <c r="Q42">
        <v>73.697999999999993</v>
      </c>
    </row>
    <row r="43" spans="1:17" x14ac:dyDescent="0.2">
      <c r="A43" s="14">
        <v>108</v>
      </c>
      <c r="B43" s="2">
        <v>14</v>
      </c>
      <c r="C43" s="2">
        <f t="shared" si="1"/>
        <v>336</v>
      </c>
      <c r="D43" s="2">
        <v>2.15</v>
      </c>
      <c r="E43" s="3">
        <v>4</v>
      </c>
      <c r="F43" s="41">
        <f t="shared" si="6"/>
        <v>4.3451032805692833</v>
      </c>
      <c r="G43" s="3">
        <v>0.45401000000000002</v>
      </c>
      <c r="H43" s="3">
        <v>1.7855904760000001</v>
      </c>
      <c r="I43" s="3">
        <v>4.1575000000000006</v>
      </c>
      <c r="J43" s="57">
        <f t="shared" si="5"/>
        <v>3.8495370370370374E-2</v>
      </c>
      <c r="K43" s="3">
        <f t="shared" si="2"/>
        <v>5.4209552154761906E-2</v>
      </c>
      <c r="L43" s="31">
        <f t="shared" si="3"/>
        <v>0.22825335043235523</v>
      </c>
      <c r="O43" s="27">
        <f t="shared" si="4"/>
        <v>0.476777198201908</v>
      </c>
      <c r="P43" s="49">
        <v>4.0485050000000002E-2</v>
      </c>
      <c r="Q43">
        <v>77.099999999999994</v>
      </c>
    </row>
    <row r="44" spans="1:17" x14ac:dyDescent="0.2">
      <c r="A44" s="11">
        <v>126</v>
      </c>
      <c r="B44" s="7">
        <v>7</v>
      </c>
      <c r="C44" s="6">
        <f>B44*24</f>
        <v>168</v>
      </c>
      <c r="D44" s="7">
        <v>2.5</v>
      </c>
      <c r="E44" s="12">
        <v>5.93</v>
      </c>
      <c r="F44" s="27">
        <f t="shared" si="6"/>
        <v>5.1357984370502621</v>
      </c>
      <c r="G44" s="12">
        <v>9.8938624999999988E-2</v>
      </c>
      <c r="H44" s="12">
        <v>8.9526730160000003</v>
      </c>
      <c r="I44" s="12">
        <v>0.73893088624338621</v>
      </c>
      <c r="J44" s="56">
        <f t="shared" si="5"/>
        <v>5.864530843201478E-3</v>
      </c>
      <c r="K44" s="12">
        <f t="shared" si="2"/>
        <v>6.5757898714285709E-2</v>
      </c>
      <c r="L44" s="30">
        <f t="shared" si="3"/>
        <v>6.688775369042578E-2</v>
      </c>
      <c r="O44" s="27">
        <f t="shared" si="4"/>
        <v>0.41189444302312167</v>
      </c>
      <c r="P44" s="49">
        <v>4.0644642000000002E-2</v>
      </c>
      <c r="Q44">
        <v>170</v>
      </c>
    </row>
    <row r="45" spans="1:17" x14ac:dyDescent="0.2">
      <c r="A45" s="11">
        <v>126</v>
      </c>
      <c r="B45" s="7">
        <v>8</v>
      </c>
      <c r="C45" s="7">
        <f t="shared" si="1"/>
        <v>192</v>
      </c>
      <c r="D45" s="39">
        <v>2.5</v>
      </c>
      <c r="E45" s="12">
        <v>5.59</v>
      </c>
      <c r="F45" s="27">
        <f t="shared" si="6"/>
        <v>5.0488619235684498</v>
      </c>
      <c r="G45" s="12">
        <v>0.18050999999999998</v>
      </c>
      <c r="H45" s="12">
        <v>6.0698666670000003</v>
      </c>
      <c r="I45" s="12">
        <v>1.3863227513227512</v>
      </c>
      <c r="J45" s="56">
        <f t="shared" si="5"/>
        <v>1.1002561518434532E-2</v>
      </c>
      <c r="K45" s="12">
        <f t="shared" si="2"/>
        <v>7.2552777776041674E-2</v>
      </c>
      <c r="L45" s="30">
        <f t="shared" si="3"/>
        <v>9.9519704383489338E-2</v>
      </c>
      <c r="O45" s="27">
        <f t="shared" si="4"/>
        <v>0.41189444302312167</v>
      </c>
      <c r="P45" s="49">
        <v>4.0644642000000002E-2</v>
      </c>
      <c r="Q45">
        <v>155.845</v>
      </c>
    </row>
    <row r="46" spans="1:17" x14ac:dyDescent="0.2">
      <c r="A46" s="11">
        <v>126</v>
      </c>
      <c r="B46" s="7">
        <v>9</v>
      </c>
      <c r="C46" s="7">
        <f t="shared" si="1"/>
        <v>216</v>
      </c>
      <c r="D46" s="39">
        <v>2.5</v>
      </c>
      <c r="E46" s="12">
        <v>5.23</v>
      </c>
      <c r="F46" s="27">
        <f t="shared" si="6"/>
        <v>4.6132970731996998</v>
      </c>
      <c r="G46" s="12">
        <v>0.31725999999999999</v>
      </c>
      <c r="H46" s="12">
        <v>5.7808253970000001</v>
      </c>
      <c r="I46" s="12">
        <v>2.4716402116402114</v>
      </c>
      <c r="J46" s="56">
        <f t="shared" si="5"/>
        <v>1.9616192155874693E-2</v>
      </c>
      <c r="K46" s="12">
        <f t="shared" si="2"/>
        <v>6.5829512050925923E-2</v>
      </c>
      <c r="L46" s="30">
        <f t="shared" si="3"/>
        <v>0.17382445047961773</v>
      </c>
      <c r="O46" s="27">
        <f t="shared" si="4"/>
        <v>0.41189444302312167</v>
      </c>
      <c r="P46" s="49">
        <v>4.0644642000000002E-2</v>
      </c>
      <c r="Q46">
        <v>100.816</v>
      </c>
    </row>
    <row r="47" spans="1:17" x14ac:dyDescent="0.2">
      <c r="A47" s="11">
        <v>126</v>
      </c>
      <c r="B47" s="7">
        <v>10</v>
      </c>
      <c r="C47" s="7">
        <f t="shared" si="1"/>
        <v>240</v>
      </c>
      <c r="D47" s="39">
        <v>2.5</v>
      </c>
      <c r="E47" s="12">
        <v>5.07</v>
      </c>
      <c r="F47" s="27">
        <f t="shared" si="6"/>
        <v>4.4347139569528879</v>
      </c>
      <c r="G47" s="12">
        <v>0.32273000000000002</v>
      </c>
      <c r="H47" s="12">
        <v>5.7713174599999997</v>
      </c>
      <c r="I47" s="12">
        <v>2.5150529100529098</v>
      </c>
      <c r="J47" s="56">
        <f t="shared" si="5"/>
        <v>1.9960737381372301E-2</v>
      </c>
      <c r="K47" s="12">
        <f t="shared" si="2"/>
        <v>5.9286177250000002E-2</v>
      </c>
      <c r="L47" s="30">
        <f t="shared" si="3"/>
        <v>0.17675936637018466</v>
      </c>
      <c r="O47" s="27">
        <f t="shared" si="4"/>
        <v>0.41189444302312167</v>
      </c>
      <c r="P47" s="49">
        <v>4.0644642000000002E-2</v>
      </c>
      <c r="Q47">
        <v>84.328000000000003</v>
      </c>
    </row>
    <row r="48" spans="1:17" x14ac:dyDescent="0.2">
      <c r="A48" s="11">
        <v>126</v>
      </c>
      <c r="B48" s="7">
        <v>11</v>
      </c>
      <c r="C48" s="7">
        <f t="shared" si="1"/>
        <v>264</v>
      </c>
      <c r="D48" s="39">
        <v>2.5</v>
      </c>
      <c r="E48" s="12">
        <v>4.5599999999999996</v>
      </c>
      <c r="F48" s="27">
        <f t="shared" si="6"/>
        <v>4.2992562519415065</v>
      </c>
      <c r="G48" s="12">
        <v>0.41571999999999998</v>
      </c>
      <c r="H48" s="12">
        <v>4.8737682539999998</v>
      </c>
      <c r="I48" s="12">
        <v>3.2530687830687826</v>
      </c>
      <c r="J48" s="56">
        <f t="shared" si="5"/>
        <v>2.5818006214831608E-2</v>
      </c>
      <c r="K48" s="12">
        <f t="shared" si="2"/>
        <v>5.7296332371212122E-2</v>
      </c>
      <c r="L48" s="30">
        <f t="shared" si="3"/>
        <v>0.21506141368811357</v>
      </c>
      <c r="O48" s="27">
        <f t="shared" si="4"/>
        <v>0.41189444302312167</v>
      </c>
      <c r="P48" s="49">
        <v>4.0644642000000002E-2</v>
      </c>
      <c r="Q48">
        <v>73.644999999999996</v>
      </c>
    </row>
    <row r="49" spans="1:17" x14ac:dyDescent="0.2">
      <c r="A49" s="11">
        <v>126</v>
      </c>
      <c r="B49" s="7">
        <v>13</v>
      </c>
      <c r="C49" s="7">
        <f t="shared" si="1"/>
        <v>312</v>
      </c>
      <c r="D49" s="39">
        <v>2.5</v>
      </c>
      <c r="E49" s="12">
        <v>4.2</v>
      </c>
      <c r="F49" s="27">
        <f t="shared" si="6"/>
        <v>4.3012909786337392</v>
      </c>
      <c r="G49" s="12">
        <v>0.46494999999999997</v>
      </c>
      <c r="H49" s="12">
        <v>3.2802380950000001</v>
      </c>
      <c r="I49" s="12">
        <v>3.6437830687830686</v>
      </c>
      <c r="J49" s="56">
        <f>I49/A49</f>
        <v>2.891891324431007E-2</v>
      </c>
      <c r="K49" s="12">
        <f t="shared" si="2"/>
        <v>5.3588980464743585E-2</v>
      </c>
      <c r="L49" s="30">
        <f t="shared" si="3"/>
        <v>0.21793271276748297</v>
      </c>
      <c r="O49" s="27">
        <f t="shared" si="4"/>
        <v>0.41189444302312167</v>
      </c>
      <c r="P49" s="49">
        <v>4.0644642000000002E-2</v>
      </c>
      <c r="Q49">
        <v>73.795000000000002</v>
      </c>
    </row>
    <row r="50" spans="1:17" x14ac:dyDescent="0.2">
      <c r="A50" s="14">
        <v>126</v>
      </c>
      <c r="B50" s="2">
        <v>14</v>
      </c>
      <c r="C50" s="2">
        <f t="shared" si="1"/>
        <v>336</v>
      </c>
      <c r="D50" s="2">
        <v>2.5</v>
      </c>
      <c r="E50" s="3">
        <v>4.2300000000000004</v>
      </c>
      <c r="F50" s="41">
        <f t="shared" si="6"/>
        <v>4.3257736931230832</v>
      </c>
      <c r="G50" s="3">
        <v>0.40478000000000003</v>
      </c>
      <c r="H50" s="3">
        <v>3.4428238100000002</v>
      </c>
      <c r="I50" s="3">
        <v>3.1662433862433863</v>
      </c>
      <c r="J50" s="57">
        <f>I50/A50</f>
        <v>2.5128915763836399E-2</v>
      </c>
      <c r="K50" s="3">
        <f t="shared" si="2"/>
        <v>4.9277310089285715E-2</v>
      </c>
      <c r="L50" s="31">
        <f t="shared" si="3"/>
        <v>0.19123088079208186</v>
      </c>
      <c r="O50" s="27">
        <f t="shared" si="4"/>
        <v>0.41189444302312167</v>
      </c>
      <c r="P50" s="49">
        <v>4.0644642000000002E-2</v>
      </c>
      <c r="Q50">
        <v>75.623999999999995</v>
      </c>
    </row>
  </sheetData>
  <conditionalFormatting sqref="E2:E50">
    <cfRule type="colorScale" priority="4">
      <colorScale>
        <cfvo type="min"/>
        <cfvo type="max"/>
        <color theme="0"/>
        <color rgb="FF5AB6C9"/>
      </colorScale>
    </cfRule>
  </conditionalFormatting>
  <conditionalFormatting sqref="F2:F50">
    <cfRule type="colorScale" priority="5">
      <colorScale>
        <cfvo type="min"/>
        <cfvo type="max"/>
        <color theme="0"/>
        <color rgb="FF57BEB1"/>
      </colorScale>
    </cfRule>
  </conditionalFormatting>
  <conditionalFormatting sqref="G2:G50">
    <cfRule type="colorScale" priority="7">
      <colorScale>
        <cfvo type="min"/>
        <cfvo type="max"/>
        <color rgb="FFFCFCFF"/>
        <color rgb="FF58BE8D"/>
      </colorScale>
    </cfRule>
  </conditionalFormatting>
  <conditionalFormatting sqref="H2:H50">
    <cfRule type="colorScale" priority="8">
      <colorScale>
        <cfvo type="min"/>
        <cfvo type="max"/>
        <color rgb="FFFCFCFF"/>
        <color rgb="FF7CBE72"/>
      </colorScale>
    </cfRule>
  </conditionalFormatting>
  <conditionalFormatting sqref="I2:I50">
    <cfRule type="colorScale" priority="9">
      <colorScale>
        <cfvo type="min"/>
        <cfvo type="max"/>
        <color rgb="FFFCFCFF"/>
        <color rgb="FFA5BD64"/>
      </colorScale>
    </cfRule>
  </conditionalFormatting>
  <conditionalFormatting sqref="J2:J50">
    <cfRule type="colorScale" priority="1">
      <colorScale>
        <cfvo type="min"/>
        <cfvo type="max"/>
        <color rgb="FFFCFCFF"/>
        <color rgb="FFC0AC64"/>
      </colorScale>
    </cfRule>
  </conditionalFormatting>
  <conditionalFormatting sqref="K2:K50">
    <cfRule type="colorScale" priority="11">
      <colorScale>
        <cfvo type="min"/>
        <cfvo type="max"/>
        <color rgb="FFFCFCFF"/>
        <color rgb="FFC68B5D"/>
      </colorScale>
    </cfRule>
  </conditionalFormatting>
  <conditionalFormatting sqref="L2:L50">
    <cfRule type="colorScale" priority="2">
      <colorScale>
        <cfvo type="min"/>
        <cfvo type="max"/>
        <color rgb="FFFCFCFF"/>
        <color rgb="FFCA6768"/>
      </colorScale>
    </cfRule>
  </conditionalFormatting>
  <conditionalFormatting sqref="Q2:Q50">
    <cfRule type="colorScale" priority="6">
      <colorScale>
        <cfvo type="min"/>
        <cfvo type="max"/>
        <color theme="0"/>
        <color rgb="FF57BEB1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8649F-92AE-A440-B5DC-B3845ADEB2C2}">
  <dimension ref="B1:AF55"/>
  <sheetViews>
    <sheetView zoomScale="125" zoomScaleNormal="227" workbookViewId="0">
      <selection activeCell="K2" activeCellId="1" sqref="H2:I2 K2"/>
    </sheetView>
  </sheetViews>
  <sheetFormatPr baseColWidth="10" defaultColWidth="8.83203125" defaultRowHeight="15" x14ac:dyDescent="0.2"/>
  <cols>
    <col min="1" max="1" width="2.6640625" style="1" customWidth="1"/>
    <col min="2" max="2" width="11.33203125" style="1" customWidth="1"/>
    <col min="3" max="3" width="10.1640625" style="1" customWidth="1"/>
    <col min="4" max="4" width="6.33203125" style="1" customWidth="1"/>
    <col min="5" max="5" width="9.5" style="1" customWidth="1"/>
    <col min="6" max="7" width="10" style="1" customWidth="1"/>
    <col min="8" max="8" width="14.83203125" style="1" bestFit="1" customWidth="1"/>
    <col min="9" max="9" width="14" style="1" customWidth="1"/>
    <col min="10" max="10" width="17" style="1" bestFit="1" customWidth="1"/>
    <col min="11" max="12" width="12.1640625" style="1" customWidth="1"/>
    <col min="13" max="14" width="12.1640625" style="27" customWidth="1"/>
    <col min="15" max="15" width="12.1640625" style="29" customWidth="1"/>
    <col min="16" max="16" width="11.33203125" style="29" customWidth="1"/>
    <col min="17" max="16384" width="8.83203125" style="1"/>
  </cols>
  <sheetData>
    <row r="1" spans="2:29" x14ac:dyDescent="0.2">
      <c r="L1" s="27" t="s">
        <v>0</v>
      </c>
      <c r="M1" s="1" t="s">
        <v>1</v>
      </c>
      <c r="N1" s="1" t="s">
        <v>2</v>
      </c>
      <c r="O1" s="1" t="s">
        <v>3</v>
      </c>
      <c r="T1" s="1" t="s">
        <v>93</v>
      </c>
      <c r="U1" s="1" t="s">
        <v>94</v>
      </c>
      <c r="X1" s="1" t="s">
        <v>99</v>
      </c>
    </row>
    <row r="2" spans="2:29" ht="16" customHeight="1" x14ac:dyDescent="0.2">
      <c r="B2" s="8" t="s">
        <v>4</v>
      </c>
      <c r="C2" s="9" t="s">
        <v>5</v>
      </c>
      <c r="D2" s="9" t="s">
        <v>6</v>
      </c>
      <c r="E2" s="9" t="s">
        <v>26</v>
      </c>
      <c r="F2" s="9" t="s">
        <v>19</v>
      </c>
      <c r="G2" s="9" t="s">
        <v>65</v>
      </c>
      <c r="H2" s="9" t="s">
        <v>70</v>
      </c>
      <c r="I2" s="9" t="s">
        <v>68</v>
      </c>
      <c r="J2" s="9" t="s">
        <v>69</v>
      </c>
      <c r="K2" s="9" t="s">
        <v>20</v>
      </c>
      <c r="L2" s="9" t="s">
        <v>21</v>
      </c>
      <c r="M2" s="9" t="s">
        <v>22</v>
      </c>
      <c r="N2" s="9" t="s">
        <v>23</v>
      </c>
      <c r="O2" s="32" t="s">
        <v>24</v>
      </c>
      <c r="P2" s="9" t="s">
        <v>67</v>
      </c>
      <c r="R2" s="48" t="s">
        <v>59</v>
      </c>
      <c r="U2" s="1" t="s">
        <v>95</v>
      </c>
      <c r="V2" s="1" t="s">
        <v>96</v>
      </c>
      <c r="W2" s="1" t="s">
        <v>97</v>
      </c>
      <c r="Y2" s="1" t="s">
        <v>98</v>
      </c>
    </row>
    <row r="3" spans="2:29" x14ac:dyDescent="0.2">
      <c r="B3" s="11">
        <v>18</v>
      </c>
      <c r="C3" s="7">
        <v>7</v>
      </c>
      <c r="D3" s="6">
        <f>C3*24</f>
        <v>168</v>
      </c>
      <c r="E3" s="38">
        <v>0.37</v>
      </c>
      <c r="F3" s="12">
        <v>4.4800000000000004</v>
      </c>
      <c r="G3" s="12">
        <f>LN(R3)</f>
        <v>4.944381524983803</v>
      </c>
      <c r="H3" s="12">
        <v>3.3</v>
      </c>
      <c r="I3" s="12">
        <f>H3*0.0547</f>
        <v>0.18050999999999998</v>
      </c>
      <c r="J3" s="12">
        <v>0.41099999999999998</v>
      </c>
      <c r="K3" s="64">
        <v>3.0762037154050299</v>
      </c>
      <c r="L3" s="12">
        <f>(I3-(5/18*B3/6/1000))*1000/B3</f>
        <v>9.9820370370370366</v>
      </c>
      <c r="M3" s="56">
        <f>L3/D3</f>
        <v>5.9416887125220454E-2</v>
      </c>
      <c r="N3" s="56">
        <f>(18.2-K3)/D3</f>
        <v>9.0022596932112925E-2</v>
      </c>
      <c r="O3" s="30">
        <f>(I3-(5/18*B3/6/1000))*1000/B3/(20-K3)</f>
        <v>0.58982257108136371</v>
      </c>
      <c r="P3" s="27">
        <f>N3/I3</f>
        <v>0.49871251970590513</v>
      </c>
      <c r="R3">
        <v>140.38399999999999</v>
      </c>
      <c r="T3" s="1">
        <f>B3/6</f>
        <v>3</v>
      </c>
      <c r="U3" s="1">
        <f>5/18*T3</f>
        <v>0.83333333333333337</v>
      </c>
      <c r="V3" s="1">
        <f>U3/1000</f>
        <v>8.3333333333333339E-4</v>
      </c>
      <c r="W3" s="5">
        <f>I3-V3</f>
        <v>0.17967666666666665</v>
      </c>
      <c r="X3" s="1">
        <f>W3*1000/B3</f>
        <v>9.9820370370370366</v>
      </c>
      <c r="Y3" s="5">
        <f t="shared" ref="Y3:Y34" si="0">20-K3</f>
        <v>16.923796284594971</v>
      </c>
      <c r="Z3" s="1">
        <f>X3/Y3</f>
        <v>0.58982257108136371</v>
      </c>
      <c r="AA3" s="1">
        <f t="shared" ref="AA3:AA18" si="1">(I3-(5/18*B3/6/1000))*1000/B3/(20-K3)</f>
        <v>0.58982257108136371</v>
      </c>
      <c r="AC3" s="1">
        <f>(I3-(5/18*B3/6/1000))*1000/B3</f>
        <v>9.9820370370370366</v>
      </c>
    </row>
    <row r="4" spans="2:29" x14ac:dyDescent="0.2">
      <c r="B4" s="11">
        <v>18</v>
      </c>
      <c r="C4" s="7">
        <v>8</v>
      </c>
      <c r="D4" s="7">
        <f t="shared" ref="D4:D51" si="2">C4*24</f>
        <v>192</v>
      </c>
      <c r="E4" s="7">
        <v>0.37</v>
      </c>
      <c r="F4" s="12">
        <v>4.2699999999999996</v>
      </c>
      <c r="G4" s="12">
        <f>LN(R4)</f>
        <v>4.678848065665302</v>
      </c>
      <c r="H4" s="12">
        <v>3.6</v>
      </c>
      <c r="I4" s="12">
        <f t="shared" ref="I4:I51" si="3">H4*0.0547</f>
        <v>0.19692000000000001</v>
      </c>
      <c r="J4" s="12">
        <v>0.52610000000000001</v>
      </c>
      <c r="K4" s="65">
        <v>0.604928598508783</v>
      </c>
      <c r="L4" s="12">
        <f t="shared" ref="L4:L51" si="4">(I4-(5/18*B4/6/1000))*1000/B4</f>
        <v>10.893703703703704</v>
      </c>
      <c r="M4" s="56">
        <f>L4/D4</f>
        <v>5.673804012345679E-2</v>
      </c>
      <c r="N4" s="56">
        <f t="shared" ref="N4:N51" si="5">(18.2-K4)/D4</f>
        <v>9.1640996882766765E-2</v>
      </c>
      <c r="O4" s="30">
        <f t="shared" ref="O4:O51" si="6">(I4-(5/18*B4/6/1000))*1000/B4/(20-K4)</f>
        <v>0.56167381280515039</v>
      </c>
      <c r="P4" s="27">
        <f t="shared" ref="P4:P51" si="7">N4/I4</f>
        <v>0.46537170872824885</v>
      </c>
      <c r="Q4">
        <f>H4*0.0547</f>
        <v>0.19692000000000001</v>
      </c>
      <c r="R4">
        <v>107.646</v>
      </c>
      <c r="T4" s="1">
        <f t="shared" ref="T4:T51" si="8">B4/6</f>
        <v>3</v>
      </c>
      <c r="U4" s="1">
        <f t="shared" ref="U4:U51" si="9">5/18*T4</f>
        <v>0.83333333333333337</v>
      </c>
      <c r="V4" s="1">
        <f t="shared" ref="V4:V51" si="10">U4/1000</f>
        <v>8.3333333333333339E-4</v>
      </c>
      <c r="W4" s="5">
        <f>I4-V4</f>
        <v>0.19608666666666669</v>
      </c>
      <c r="X4" s="1">
        <f t="shared" ref="X4:X51" si="11">W4*1000/B4</f>
        <v>10.893703703703704</v>
      </c>
      <c r="Y4" s="5">
        <f t="shared" si="0"/>
        <v>19.395071401491219</v>
      </c>
      <c r="Z4" s="1">
        <f t="shared" ref="Z4:Z51" si="12">X4/Y4</f>
        <v>0.56167381280515039</v>
      </c>
      <c r="AA4" s="1">
        <f t="shared" si="1"/>
        <v>0.56167381280515039</v>
      </c>
    </row>
    <row r="5" spans="2:29" x14ac:dyDescent="0.2">
      <c r="B5" s="11">
        <v>18</v>
      </c>
      <c r="C5" s="7">
        <v>9</v>
      </c>
      <c r="D5" s="7">
        <f t="shared" si="2"/>
        <v>216</v>
      </c>
      <c r="E5" s="7">
        <v>0.37</v>
      </c>
      <c r="F5" s="12">
        <v>3.77</v>
      </c>
      <c r="G5" s="12">
        <f t="shared" ref="G5:G51" si="13">LN(R5)</f>
        <v>4.5958266709849385</v>
      </c>
      <c r="H5" s="12">
        <v>3.7</v>
      </c>
      <c r="I5" s="12">
        <f t="shared" si="3"/>
        <v>0.20239000000000001</v>
      </c>
      <c r="J5" s="12">
        <v>0.53910000000000002</v>
      </c>
      <c r="K5" s="12">
        <v>0.81086819158347001</v>
      </c>
      <c r="L5" s="12">
        <f t="shared" si="4"/>
        <v>11.197592592592594</v>
      </c>
      <c r="M5" s="56">
        <f t="shared" ref="M5:M34" si="14">L5/D5</f>
        <v>5.1840706447187933E-2</v>
      </c>
      <c r="N5" s="56">
        <f t="shared" si="5"/>
        <v>8.0505239853780233E-2</v>
      </c>
      <c r="O5" s="30">
        <f t="shared" si="6"/>
        <v>0.58353826032302447</v>
      </c>
      <c r="P5" s="27">
        <f t="shared" si="7"/>
        <v>0.39777281413992899</v>
      </c>
      <c r="R5">
        <v>99.07</v>
      </c>
      <c r="T5" s="1">
        <f t="shared" si="8"/>
        <v>3</v>
      </c>
      <c r="U5" s="1">
        <f t="shared" si="9"/>
        <v>0.83333333333333337</v>
      </c>
      <c r="V5" s="1">
        <f t="shared" si="10"/>
        <v>8.3333333333333339E-4</v>
      </c>
      <c r="W5" s="5">
        <f t="shared" ref="W5:W51" si="15">I5-V5</f>
        <v>0.20155666666666669</v>
      </c>
      <c r="X5" s="1">
        <f t="shared" si="11"/>
        <v>11.197592592592594</v>
      </c>
      <c r="Y5" s="5">
        <f t="shared" si="0"/>
        <v>19.18913180841653</v>
      </c>
      <c r="Z5" s="1">
        <f t="shared" si="12"/>
        <v>0.58353826032302447</v>
      </c>
      <c r="AA5" s="1">
        <f t="shared" si="1"/>
        <v>0.58353826032302447</v>
      </c>
    </row>
    <row r="6" spans="2:29" x14ac:dyDescent="0.2">
      <c r="B6" s="11">
        <v>18</v>
      </c>
      <c r="C6" s="7">
        <v>10</v>
      </c>
      <c r="D6" s="7">
        <f t="shared" si="2"/>
        <v>240</v>
      </c>
      <c r="E6" s="7">
        <v>0.37</v>
      </c>
      <c r="F6" s="12">
        <v>4.7300000000000004</v>
      </c>
      <c r="G6" s="12">
        <f t="shared" si="13"/>
        <v>4.633942271081847</v>
      </c>
      <c r="H6" s="12">
        <v>2.5</v>
      </c>
      <c r="I6" s="12">
        <f>H6*0.0547</f>
        <v>0.13674999999999998</v>
      </c>
      <c r="J6" s="12">
        <v>0.45669999999999999</v>
      </c>
      <c r="K6" s="12">
        <v>0.61718690762037198</v>
      </c>
      <c r="L6" s="12">
        <f t="shared" si="4"/>
        <v>7.5509259259259256</v>
      </c>
      <c r="M6" s="56">
        <f t="shared" si="14"/>
        <v>3.1462191358024687E-2</v>
      </c>
      <c r="N6" s="56">
        <f t="shared" si="5"/>
        <v>7.3261721218248449E-2</v>
      </c>
      <c r="O6" s="30">
        <f t="shared" si="6"/>
        <v>0.38956811325258972</v>
      </c>
      <c r="P6" s="27">
        <f t="shared" si="7"/>
        <v>0.53573470726324279</v>
      </c>
      <c r="R6">
        <v>102.919</v>
      </c>
      <c r="T6" s="1">
        <f t="shared" si="8"/>
        <v>3</v>
      </c>
      <c r="U6" s="1">
        <f t="shared" si="9"/>
        <v>0.83333333333333337</v>
      </c>
      <c r="V6" s="1">
        <f t="shared" si="10"/>
        <v>8.3333333333333339E-4</v>
      </c>
      <c r="W6" s="5">
        <f t="shared" si="15"/>
        <v>0.13591666666666666</v>
      </c>
      <c r="X6" s="1">
        <f t="shared" si="11"/>
        <v>7.5509259259259256</v>
      </c>
      <c r="Y6" s="5">
        <f t="shared" si="0"/>
        <v>19.382813092379628</v>
      </c>
      <c r="Z6" s="1">
        <f t="shared" si="12"/>
        <v>0.38956811325258972</v>
      </c>
      <c r="AA6" s="1">
        <f t="shared" si="1"/>
        <v>0.38956811325258972</v>
      </c>
    </row>
    <row r="7" spans="2:29" x14ac:dyDescent="0.2">
      <c r="B7" s="11">
        <v>18</v>
      </c>
      <c r="C7" s="7">
        <v>11</v>
      </c>
      <c r="D7" s="7">
        <f t="shared" si="2"/>
        <v>264</v>
      </c>
      <c r="E7" s="7">
        <v>0.37</v>
      </c>
      <c r="F7" s="12">
        <v>5.09</v>
      </c>
      <c r="G7" s="12">
        <f t="shared" si="13"/>
        <v>4.6331938298943101</v>
      </c>
      <c r="H7" s="12">
        <v>3.2</v>
      </c>
      <c r="I7" s="12">
        <f t="shared" si="3"/>
        <v>0.17504</v>
      </c>
      <c r="J7" s="12">
        <v>0.41949999999999998</v>
      </c>
      <c r="K7" s="12">
        <v>0.64415518766586599</v>
      </c>
      <c r="L7" s="12">
        <f t="shared" si="4"/>
        <v>9.6781481481481482</v>
      </c>
      <c r="M7" s="56">
        <f t="shared" si="14"/>
        <v>3.6659652076318744E-2</v>
      </c>
      <c r="N7" s="56">
        <f t="shared" si="5"/>
        <v>6.6499412167932315E-2</v>
      </c>
      <c r="O7" s="30">
        <f t="shared" si="6"/>
        <v>0.50001166272943753</v>
      </c>
      <c r="P7" s="27">
        <f t="shared" si="7"/>
        <v>0.37990980443288569</v>
      </c>
      <c r="R7">
        <v>102.842</v>
      </c>
      <c r="T7" s="1">
        <f t="shared" si="8"/>
        <v>3</v>
      </c>
      <c r="U7" s="1">
        <f t="shared" si="9"/>
        <v>0.83333333333333337</v>
      </c>
      <c r="V7" s="1">
        <f t="shared" si="10"/>
        <v>8.3333333333333339E-4</v>
      </c>
      <c r="W7" s="5">
        <f t="shared" si="15"/>
        <v>0.17420666666666668</v>
      </c>
      <c r="X7" s="1">
        <f t="shared" si="11"/>
        <v>9.6781481481481482</v>
      </c>
      <c r="Y7" s="5">
        <f t="shared" si="0"/>
        <v>19.355844812334134</v>
      </c>
      <c r="Z7" s="1">
        <f t="shared" si="12"/>
        <v>0.50001166272943753</v>
      </c>
      <c r="AA7" s="1">
        <f t="shared" si="1"/>
        <v>0.50001166272943753</v>
      </c>
    </row>
    <row r="8" spans="2:29" x14ac:dyDescent="0.2">
      <c r="B8" s="11">
        <v>18</v>
      </c>
      <c r="C8" s="7">
        <v>13</v>
      </c>
      <c r="D8" s="7">
        <f t="shared" si="2"/>
        <v>312</v>
      </c>
      <c r="E8" s="7">
        <v>0.37</v>
      </c>
      <c r="F8" s="12">
        <v>5.23</v>
      </c>
      <c r="G8" s="12">
        <f t="shared" si="13"/>
        <v>4.6304187415744895</v>
      </c>
      <c r="H8" s="12">
        <v>2.8</v>
      </c>
      <c r="I8" s="12">
        <f t="shared" si="3"/>
        <v>0.15315999999999999</v>
      </c>
      <c r="J8" s="12">
        <v>0.37440000000000001</v>
      </c>
      <c r="K8" s="12">
        <v>0.63434854037659505</v>
      </c>
      <c r="L8" s="12">
        <f t="shared" si="4"/>
        <v>8.4625925925925927</v>
      </c>
      <c r="M8" s="56">
        <f t="shared" si="14"/>
        <v>2.7123694207027541E-2</v>
      </c>
      <c r="N8" s="56">
        <f t="shared" si="5"/>
        <v>5.6300164934690394E-2</v>
      </c>
      <c r="O8" s="30">
        <f t="shared" si="6"/>
        <v>0.43698982243054174</v>
      </c>
      <c r="P8" s="27">
        <f t="shared" si="7"/>
        <v>0.36759052582064766</v>
      </c>
      <c r="R8">
        <v>102.557</v>
      </c>
      <c r="T8" s="1">
        <f t="shared" si="8"/>
        <v>3</v>
      </c>
      <c r="U8" s="1">
        <f t="shared" si="9"/>
        <v>0.83333333333333337</v>
      </c>
      <c r="V8" s="1">
        <f t="shared" si="10"/>
        <v>8.3333333333333339E-4</v>
      </c>
      <c r="W8" s="5">
        <f t="shared" si="15"/>
        <v>0.15232666666666667</v>
      </c>
      <c r="X8" s="1">
        <f t="shared" si="11"/>
        <v>8.4625925925925927</v>
      </c>
      <c r="Y8" s="5">
        <f t="shared" si="0"/>
        <v>19.365651459623404</v>
      </c>
      <c r="Z8" s="1">
        <f t="shared" si="12"/>
        <v>0.43698982243054174</v>
      </c>
      <c r="AA8" s="1">
        <f t="shared" si="1"/>
        <v>0.43698982243054174</v>
      </c>
    </row>
    <row r="9" spans="2:29" x14ac:dyDescent="0.2">
      <c r="B9" s="14">
        <v>18</v>
      </c>
      <c r="C9" s="2">
        <v>14</v>
      </c>
      <c r="D9" s="2">
        <f t="shared" si="2"/>
        <v>336</v>
      </c>
      <c r="E9" s="2">
        <v>0.37</v>
      </c>
      <c r="F9" s="3">
        <v>5.68</v>
      </c>
      <c r="G9" s="3">
        <f t="shared" si="13"/>
        <v>4.5895284899981341</v>
      </c>
      <c r="H9" s="3">
        <v>1.8</v>
      </c>
      <c r="I9" s="12">
        <f t="shared" si="3"/>
        <v>9.8460000000000006E-2</v>
      </c>
      <c r="J9" s="3">
        <v>0.25879999999999997</v>
      </c>
      <c r="K9" s="3">
        <v>0.63557437128775396</v>
      </c>
      <c r="L9" s="3">
        <f t="shared" si="4"/>
        <v>5.4237037037037039</v>
      </c>
      <c r="M9" s="57">
        <f t="shared" si="14"/>
        <v>1.6141975308641976E-2</v>
      </c>
      <c r="N9" s="56">
        <f t="shared" si="5"/>
        <v>5.2275076275929304E-2</v>
      </c>
      <c r="O9" s="31">
        <f t="shared" si="6"/>
        <v>0.28008595801890485</v>
      </c>
      <c r="P9" s="41">
        <f t="shared" si="7"/>
        <v>0.53092703916239392</v>
      </c>
      <c r="R9">
        <v>98.447999999999993</v>
      </c>
      <c r="T9" s="1">
        <f t="shared" si="8"/>
        <v>3</v>
      </c>
      <c r="U9" s="1">
        <f t="shared" si="9"/>
        <v>0.83333333333333337</v>
      </c>
      <c r="V9" s="1">
        <f t="shared" si="10"/>
        <v>8.3333333333333339E-4</v>
      </c>
      <c r="W9" s="5">
        <f t="shared" si="15"/>
        <v>9.7626666666666667E-2</v>
      </c>
      <c r="X9" s="1">
        <f t="shared" si="11"/>
        <v>5.4237037037037039</v>
      </c>
      <c r="Y9" s="5">
        <f t="shared" si="0"/>
        <v>19.364425628712247</v>
      </c>
      <c r="Z9" s="1">
        <f t="shared" si="12"/>
        <v>0.28008595801890485</v>
      </c>
      <c r="AA9" s="1">
        <f t="shared" si="1"/>
        <v>0.28008595801890485</v>
      </c>
    </row>
    <row r="10" spans="2:29" x14ac:dyDescent="0.2">
      <c r="B10" s="11">
        <v>36</v>
      </c>
      <c r="C10" s="7">
        <v>7</v>
      </c>
      <c r="D10" s="6">
        <f>C10*24</f>
        <v>168</v>
      </c>
      <c r="E10" s="7">
        <v>0.73</v>
      </c>
      <c r="F10" s="12">
        <v>3.56</v>
      </c>
      <c r="G10" s="12">
        <f t="shared" si="13"/>
        <v>4.6236582241002226</v>
      </c>
      <c r="H10" s="12">
        <v>4.3</v>
      </c>
      <c r="I10" s="12">
        <f t="shared" si="3"/>
        <v>0.23520999999999997</v>
      </c>
      <c r="J10" s="12">
        <v>0.78259999999999996</v>
      </c>
      <c r="K10" s="64">
        <v>3.3630481486161998</v>
      </c>
      <c r="L10" s="12">
        <f>(I10-(5/18*B10/6/1000))*1000/B10</f>
        <v>6.4873148148148134</v>
      </c>
      <c r="M10" s="56">
        <f t="shared" si="14"/>
        <v>3.8614969135802459E-2</v>
      </c>
      <c r="N10" s="56">
        <f t="shared" si="5"/>
        <v>8.831518959157024E-2</v>
      </c>
      <c r="O10" s="30">
        <f t="shared" si="6"/>
        <v>0.38993409807068852</v>
      </c>
      <c r="P10" s="27">
        <f t="shared" si="7"/>
        <v>0.37547378764325601</v>
      </c>
      <c r="R10">
        <v>101.866</v>
      </c>
      <c r="T10" s="1">
        <f t="shared" si="8"/>
        <v>6</v>
      </c>
      <c r="U10" s="1">
        <f t="shared" si="9"/>
        <v>1.6666666666666667</v>
      </c>
      <c r="V10" s="1">
        <f t="shared" si="10"/>
        <v>1.6666666666666668E-3</v>
      </c>
      <c r="W10" s="5">
        <f t="shared" si="15"/>
        <v>0.2335433333333333</v>
      </c>
      <c r="X10" s="1">
        <f t="shared" si="11"/>
        <v>6.4873148148148134</v>
      </c>
      <c r="Y10" s="5">
        <f t="shared" si="0"/>
        <v>16.636951851383799</v>
      </c>
      <c r="Z10" s="1">
        <f t="shared" si="12"/>
        <v>0.38993409807068852</v>
      </c>
      <c r="AA10" s="1">
        <f t="shared" si="1"/>
        <v>0.38993409807068852</v>
      </c>
    </row>
    <row r="11" spans="2:29" x14ac:dyDescent="0.2">
      <c r="B11" s="11">
        <v>36</v>
      </c>
      <c r="C11" s="7">
        <v>8</v>
      </c>
      <c r="D11" s="7">
        <f t="shared" si="2"/>
        <v>192</v>
      </c>
      <c r="E11" s="7">
        <v>0.73</v>
      </c>
      <c r="F11" s="12">
        <v>3.67</v>
      </c>
      <c r="G11" s="12">
        <f t="shared" si="13"/>
        <v>4.6152294218019883</v>
      </c>
      <c r="H11" s="12">
        <v>5.2</v>
      </c>
      <c r="I11" s="12">
        <f t="shared" si="3"/>
        <v>0.28444000000000003</v>
      </c>
      <c r="J11" s="12">
        <v>0.85270000000000001</v>
      </c>
      <c r="K11" s="66">
        <v>1.58559332743587</v>
      </c>
      <c r="L11" s="12">
        <f>(I11-(5/18*B11/6/1000))*1000/B11</f>
        <v>7.8548148148148158</v>
      </c>
      <c r="M11" s="56">
        <f t="shared" si="14"/>
        <v>4.0910493827160499E-2</v>
      </c>
      <c r="N11" s="56">
        <f t="shared" si="5"/>
        <v>8.6533368086271503E-2</v>
      </c>
      <c r="O11" s="30">
        <f t="shared" si="6"/>
        <v>0.42655812671487314</v>
      </c>
      <c r="P11" s="27">
        <f t="shared" si="7"/>
        <v>0.30422362567244937</v>
      </c>
      <c r="R11">
        <v>101.011</v>
      </c>
      <c r="T11" s="1">
        <f t="shared" si="8"/>
        <v>6</v>
      </c>
      <c r="U11" s="1">
        <f t="shared" si="9"/>
        <v>1.6666666666666667</v>
      </c>
      <c r="V11" s="1">
        <f t="shared" si="10"/>
        <v>1.6666666666666668E-3</v>
      </c>
      <c r="W11" s="5">
        <f t="shared" si="15"/>
        <v>0.28277333333333338</v>
      </c>
      <c r="X11" s="1">
        <f t="shared" si="11"/>
        <v>7.8548148148148158</v>
      </c>
      <c r="Y11" s="5">
        <f t="shared" si="0"/>
        <v>18.41440667256413</v>
      </c>
      <c r="Z11" s="1">
        <f t="shared" si="12"/>
        <v>0.42655812671487314</v>
      </c>
      <c r="AA11" s="1">
        <f t="shared" si="1"/>
        <v>0.42655812671487314</v>
      </c>
    </row>
    <row r="12" spans="2:29" x14ac:dyDescent="0.2">
      <c r="B12" s="11">
        <v>36</v>
      </c>
      <c r="C12" s="7">
        <v>9</v>
      </c>
      <c r="D12" s="7">
        <f t="shared" si="2"/>
        <v>216</v>
      </c>
      <c r="E12" s="7">
        <v>0.73</v>
      </c>
      <c r="F12" s="12">
        <v>3.7</v>
      </c>
      <c r="G12" s="12">
        <f t="shared" si="13"/>
        <v>4.5473715672607193</v>
      </c>
      <c r="H12" s="12">
        <v>5.5</v>
      </c>
      <c r="I12" s="12">
        <f t="shared" si="3"/>
        <v>0.30085000000000001</v>
      </c>
      <c r="J12" s="12">
        <v>0.88549999999999995</v>
      </c>
      <c r="K12" s="65">
        <v>0.74222166055857497</v>
      </c>
      <c r="L12" s="12">
        <f t="shared" si="4"/>
        <v>8.3106481481481485</v>
      </c>
      <c r="M12" s="56">
        <f t="shared" si="14"/>
        <v>3.8475222908093278E-2</v>
      </c>
      <c r="N12" s="56">
        <f t="shared" si="5"/>
        <v>8.0823047867784381E-2</v>
      </c>
      <c r="O12" s="30">
        <f t="shared" si="6"/>
        <v>0.43154760646129647</v>
      </c>
      <c r="P12" s="27">
        <f t="shared" si="7"/>
        <v>0.26864898742823462</v>
      </c>
      <c r="R12">
        <v>94.384</v>
      </c>
      <c r="T12" s="1">
        <f t="shared" si="8"/>
        <v>6</v>
      </c>
      <c r="U12" s="1">
        <f t="shared" si="9"/>
        <v>1.6666666666666667</v>
      </c>
      <c r="V12" s="1">
        <f t="shared" si="10"/>
        <v>1.6666666666666668E-3</v>
      </c>
      <c r="W12" s="5">
        <f t="shared" si="15"/>
        <v>0.29918333333333336</v>
      </c>
      <c r="X12" s="1">
        <f t="shared" si="11"/>
        <v>8.3106481481481485</v>
      </c>
      <c r="Y12" s="5">
        <f t="shared" si="0"/>
        <v>19.257778339441426</v>
      </c>
      <c r="Z12" s="1">
        <f t="shared" si="12"/>
        <v>0.43154760646129647</v>
      </c>
      <c r="AA12" s="1">
        <f t="shared" si="1"/>
        <v>0.43154760646129647</v>
      </c>
    </row>
    <row r="13" spans="2:29" x14ac:dyDescent="0.2">
      <c r="B13" s="11">
        <v>36</v>
      </c>
      <c r="C13" s="7">
        <v>10</v>
      </c>
      <c r="D13" s="7">
        <f t="shared" si="2"/>
        <v>240</v>
      </c>
      <c r="E13" s="7">
        <v>0.73</v>
      </c>
      <c r="F13" s="12">
        <v>3.89</v>
      </c>
      <c r="G13" s="12">
        <f t="shared" si="13"/>
        <v>4.4115247554626933</v>
      </c>
      <c r="H13" s="12">
        <v>5.5</v>
      </c>
      <c r="I13" s="12">
        <f t="shared" si="3"/>
        <v>0.30085000000000001</v>
      </c>
      <c r="J13" s="12">
        <v>0.75609999999999999</v>
      </c>
      <c r="K13" s="12">
        <v>0.59757361304182999</v>
      </c>
      <c r="L13" s="12">
        <f t="shared" si="4"/>
        <v>8.3106481481481485</v>
      </c>
      <c r="M13" s="56">
        <f t="shared" si="14"/>
        <v>3.462770061728395E-2</v>
      </c>
      <c r="N13" s="56">
        <f t="shared" si="5"/>
        <v>7.3343443278992365E-2</v>
      </c>
      <c r="O13" s="30">
        <f t="shared" si="6"/>
        <v>0.42833035324563123</v>
      </c>
      <c r="P13" s="27">
        <f t="shared" si="7"/>
        <v>0.24378741325907383</v>
      </c>
      <c r="R13">
        <v>82.394999999999996</v>
      </c>
      <c r="T13" s="1">
        <f t="shared" si="8"/>
        <v>6</v>
      </c>
      <c r="U13" s="1">
        <f t="shared" si="9"/>
        <v>1.6666666666666667</v>
      </c>
      <c r="V13" s="1">
        <f t="shared" si="10"/>
        <v>1.6666666666666668E-3</v>
      </c>
      <c r="W13" s="5">
        <f t="shared" si="15"/>
        <v>0.29918333333333336</v>
      </c>
      <c r="X13" s="1">
        <f t="shared" si="11"/>
        <v>8.3106481481481485</v>
      </c>
      <c r="Y13" s="5">
        <f t="shared" si="0"/>
        <v>19.402426386958169</v>
      </c>
      <c r="Z13" s="1">
        <f t="shared" si="12"/>
        <v>0.42833035324563123</v>
      </c>
      <c r="AA13" s="1">
        <f t="shared" si="1"/>
        <v>0.42833035324563123</v>
      </c>
    </row>
    <row r="14" spans="2:29" x14ac:dyDescent="0.2">
      <c r="B14" s="11">
        <v>36</v>
      </c>
      <c r="C14" s="7">
        <v>11</v>
      </c>
      <c r="D14" s="7">
        <f t="shared" si="2"/>
        <v>264</v>
      </c>
      <c r="E14" s="7">
        <v>0.73</v>
      </c>
      <c r="F14" s="12">
        <v>4.01</v>
      </c>
      <c r="G14" s="12">
        <f t="shared" si="13"/>
        <v>4.4222204319195404</v>
      </c>
      <c r="H14" s="12">
        <v>4.9000000000000004</v>
      </c>
      <c r="I14" s="12">
        <f t="shared" si="3"/>
        <v>0.26802999999999999</v>
      </c>
      <c r="J14" s="12">
        <v>0.73699999999999999</v>
      </c>
      <c r="K14" s="12">
        <v>0.61963856944268902</v>
      </c>
      <c r="L14" s="12">
        <f t="shared" si="4"/>
        <v>7.3989814814814814</v>
      </c>
      <c r="M14" s="56">
        <f t="shared" si="14"/>
        <v>2.8026445005611671E-2</v>
      </c>
      <c r="N14" s="56">
        <f t="shared" si="5"/>
        <v>6.6592278146050413E-2</v>
      </c>
      <c r="O14" s="30">
        <f t="shared" si="6"/>
        <v>0.38177727015015284</v>
      </c>
      <c r="P14" s="27">
        <f t="shared" si="7"/>
        <v>0.24845083813771002</v>
      </c>
      <c r="R14">
        <v>83.281000000000006</v>
      </c>
      <c r="T14" s="1">
        <f t="shared" si="8"/>
        <v>6</v>
      </c>
      <c r="U14" s="1">
        <f t="shared" si="9"/>
        <v>1.6666666666666667</v>
      </c>
      <c r="V14" s="1">
        <f t="shared" si="10"/>
        <v>1.6666666666666668E-3</v>
      </c>
      <c r="W14" s="5">
        <f t="shared" si="15"/>
        <v>0.26636333333333334</v>
      </c>
      <c r="X14" s="1">
        <f t="shared" si="11"/>
        <v>7.3989814814814814</v>
      </c>
      <c r="Y14" s="5">
        <f t="shared" si="0"/>
        <v>19.380361430557311</v>
      </c>
      <c r="Z14" s="1">
        <f t="shared" si="12"/>
        <v>0.38177727015015284</v>
      </c>
      <c r="AA14" s="1">
        <f t="shared" si="1"/>
        <v>0.38177727015015284</v>
      </c>
    </row>
    <row r="15" spans="2:29" x14ac:dyDescent="0.2">
      <c r="B15" s="11">
        <v>36</v>
      </c>
      <c r="C15" s="7">
        <v>13</v>
      </c>
      <c r="D15" s="7">
        <f t="shared" si="2"/>
        <v>312</v>
      </c>
      <c r="E15" s="7">
        <v>0.73</v>
      </c>
      <c r="F15" s="12">
        <v>4.78</v>
      </c>
      <c r="G15" s="12">
        <f t="shared" si="13"/>
        <v>4.3731624637354107</v>
      </c>
      <c r="H15" s="12">
        <v>3.9</v>
      </c>
      <c r="I15" s="12">
        <f t="shared" si="3"/>
        <v>0.21332999999999999</v>
      </c>
      <c r="J15" s="12">
        <v>0.63180000000000003</v>
      </c>
      <c r="K15" s="12">
        <v>0.63434854037659505</v>
      </c>
      <c r="L15" s="12">
        <f t="shared" si="4"/>
        <v>5.8795370370370366</v>
      </c>
      <c r="M15" s="56">
        <f t="shared" si="14"/>
        <v>1.8844669990503323E-2</v>
      </c>
      <c r="N15" s="56">
        <f t="shared" si="5"/>
        <v>5.6300164934690394E-2</v>
      </c>
      <c r="O15" s="30">
        <f t="shared" si="6"/>
        <v>0.30360646783794659</v>
      </c>
      <c r="P15" s="27">
        <f t="shared" si="7"/>
        <v>0.26391114674302907</v>
      </c>
      <c r="R15">
        <v>79.293999999999997</v>
      </c>
      <c r="T15" s="1">
        <f t="shared" si="8"/>
        <v>6</v>
      </c>
      <c r="U15" s="1">
        <f t="shared" si="9"/>
        <v>1.6666666666666667</v>
      </c>
      <c r="V15" s="1">
        <f t="shared" si="10"/>
        <v>1.6666666666666668E-3</v>
      </c>
      <c r="W15" s="5">
        <f t="shared" si="15"/>
        <v>0.21166333333333331</v>
      </c>
      <c r="X15" s="1">
        <f t="shared" si="11"/>
        <v>5.8795370370370366</v>
      </c>
      <c r="Y15" s="5">
        <f t="shared" si="0"/>
        <v>19.365651459623404</v>
      </c>
      <c r="Z15" s="1">
        <f t="shared" si="12"/>
        <v>0.30360646783794659</v>
      </c>
      <c r="AA15" s="1">
        <f t="shared" si="1"/>
        <v>0.30360646783794659</v>
      </c>
    </row>
    <row r="16" spans="2:29" x14ac:dyDescent="0.2">
      <c r="B16" s="14">
        <v>36</v>
      </c>
      <c r="C16" s="2">
        <v>14</v>
      </c>
      <c r="D16" s="2">
        <f t="shared" si="2"/>
        <v>336</v>
      </c>
      <c r="E16" s="2">
        <v>0.73</v>
      </c>
      <c r="F16" s="3">
        <v>4.9800000000000004</v>
      </c>
      <c r="G16" s="3">
        <f t="shared" si="13"/>
        <v>4.4720501373214701</v>
      </c>
      <c r="H16" s="3">
        <v>2.7</v>
      </c>
      <c r="I16" s="12">
        <f t="shared" si="3"/>
        <v>0.14769000000000002</v>
      </c>
      <c r="J16" s="3">
        <v>0.52859999999999996</v>
      </c>
      <c r="K16" s="3">
        <v>0.64660684948818403</v>
      </c>
      <c r="L16" s="3">
        <f t="shared" si="4"/>
        <v>4.0562037037037042</v>
      </c>
      <c r="M16" s="57">
        <f t="shared" si="14"/>
        <v>1.2072034832451501E-2</v>
      </c>
      <c r="N16" s="56">
        <f t="shared" si="5"/>
        <v>5.2242241519380408E-2</v>
      </c>
      <c r="O16" s="31">
        <f t="shared" si="6"/>
        <v>0.20958617810109617</v>
      </c>
      <c r="P16" s="41">
        <f t="shared" si="7"/>
        <v>0.35372903730367933</v>
      </c>
      <c r="R16">
        <v>87.536000000000001</v>
      </c>
      <c r="T16" s="1">
        <f t="shared" si="8"/>
        <v>6</v>
      </c>
      <c r="U16" s="1">
        <f t="shared" si="9"/>
        <v>1.6666666666666667</v>
      </c>
      <c r="V16" s="1">
        <f t="shared" si="10"/>
        <v>1.6666666666666668E-3</v>
      </c>
      <c r="W16" s="5">
        <f t="shared" si="15"/>
        <v>0.14602333333333334</v>
      </c>
      <c r="X16" s="1">
        <f t="shared" si="11"/>
        <v>4.0562037037037042</v>
      </c>
      <c r="Y16" s="5">
        <f t="shared" si="0"/>
        <v>19.353393150511817</v>
      </c>
      <c r="Z16" s="1">
        <f t="shared" si="12"/>
        <v>0.20958617810109617</v>
      </c>
      <c r="AA16" s="1">
        <f t="shared" si="1"/>
        <v>0.20958617810109617</v>
      </c>
    </row>
    <row r="17" spans="2:32" x14ac:dyDescent="0.2">
      <c r="B17" s="11">
        <v>54</v>
      </c>
      <c r="C17" s="7">
        <v>7</v>
      </c>
      <c r="D17" s="6">
        <f>C17*24</f>
        <v>168</v>
      </c>
      <c r="E17" s="7">
        <v>1.0900000000000001</v>
      </c>
      <c r="F17" s="12">
        <v>4.03</v>
      </c>
      <c r="G17" s="12">
        <f t="shared" si="13"/>
        <v>4.6759641012881703</v>
      </c>
      <c r="H17" s="12">
        <v>4.7</v>
      </c>
      <c r="I17" s="12">
        <f t="shared" si="3"/>
        <v>0.25708999999999999</v>
      </c>
      <c r="J17" s="12">
        <v>0.71060000000000001</v>
      </c>
      <c r="K17" s="64">
        <v>5.5719954505244598</v>
      </c>
      <c r="L17" s="12">
        <f t="shared" si="4"/>
        <v>4.7146296296296288</v>
      </c>
      <c r="M17" s="56">
        <f t="shared" si="14"/>
        <v>2.8063271604938267E-2</v>
      </c>
      <c r="N17" s="56">
        <f t="shared" si="5"/>
        <v>7.5166693746878205E-2</v>
      </c>
      <c r="O17" s="30">
        <f t="shared" si="6"/>
        <v>0.32676934731081758</v>
      </c>
      <c r="P17" s="27">
        <f t="shared" si="7"/>
        <v>0.2923750194362994</v>
      </c>
      <c r="R17">
        <v>107.336</v>
      </c>
      <c r="T17" s="1">
        <f t="shared" si="8"/>
        <v>9</v>
      </c>
      <c r="U17" s="1">
        <f t="shared" si="9"/>
        <v>2.5</v>
      </c>
      <c r="V17" s="1">
        <f t="shared" si="10"/>
        <v>2.5000000000000001E-3</v>
      </c>
      <c r="W17" s="5">
        <f t="shared" si="15"/>
        <v>0.25458999999999998</v>
      </c>
      <c r="X17" s="1">
        <f t="shared" si="11"/>
        <v>4.7146296296296288</v>
      </c>
      <c r="Y17" s="5">
        <f t="shared" si="0"/>
        <v>14.42800454947554</v>
      </c>
      <c r="Z17" s="1">
        <f t="shared" si="12"/>
        <v>0.32676934731081758</v>
      </c>
      <c r="AA17" s="1">
        <f t="shared" si="1"/>
        <v>0.32676934731081758</v>
      </c>
    </row>
    <row r="18" spans="2:32" x14ac:dyDescent="0.2">
      <c r="B18" s="11">
        <v>54</v>
      </c>
      <c r="C18" s="7">
        <v>8</v>
      </c>
      <c r="D18" s="7">
        <f t="shared" si="2"/>
        <v>192</v>
      </c>
      <c r="E18" s="7">
        <v>1.0900000000000001</v>
      </c>
      <c r="F18" s="12">
        <v>3.82</v>
      </c>
      <c r="G18" s="12">
        <f t="shared" si="13"/>
        <v>4.5373409229604409</v>
      </c>
      <c r="H18" s="12">
        <v>5.6</v>
      </c>
      <c r="I18" s="12">
        <f t="shared" si="3"/>
        <v>0.30631999999999998</v>
      </c>
      <c r="J18" s="12">
        <v>0.95240000000000002</v>
      </c>
      <c r="K18" s="66">
        <v>5.1429546316188599</v>
      </c>
      <c r="L18" s="12">
        <f t="shared" si="4"/>
        <v>5.6262962962962959</v>
      </c>
      <c r="M18" s="56">
        <f t="shared" si="14"/>
        <v>2.9303626543209876E-2</v>
      </c>
      <c r="N18" s="56">
        <f t="shared" si="5"/>
        <v>6.8005444626985101E-2</v>
      </c>
      <c r="O18" s="30">
        <f t="shared" si="6"/>
        <v>0.37869550484581654</v>
      </c>
      <c r="P18" s="27">
        <f t="shared" si="7"/>
        <v>0.22200785004891976</v>
      </c>
      <c r="R18">
        <v>93.441999999999993</v>
      </c>
      <c r="T18" s="1">
        <f t="shared" si="8"/>
        <v>9</v>
      </c>
      <c r="U18" s="1">
        <f t="shared" si="9"/>
        <v>2.5</v>
      </c>
      <c r="V18" s="1">
        <f t="shared" si="10"/>
        <v>2.5000000000000001E-3</v>
      </c>
      <c r="W18" s="5">
        <f t="shared" si="15"/>
        <v>0.30381999999999998</v>
      </c>
      <c r="X18" s="1">
        <f t="shared" si="11"/>
        <v>5.6262962962962959</v>
      </c>
      <c r="Y18" s="5">
        <f t="shared" si="0"/>
        <v>14.85704536838114</v>
      </c>
      <c r="Z18" s="1">
        <f t="shared" si="12"/>
        <v>0.37869550484581654</v>
      </c>
      <c r="AA18" s="1">
        <f t="shared" si="1"/>
        <v>0.37869550484581654</v>
      </c>
    </row>
    <row r="19" spans="2:32" x14ac:dyDescent="0.2">
      <c r="B19" s="11">
        <v>54</v>
      </c>
      <c r="C19" s="7">
        <v>9</v>
      </c>
      <c r="D19" s="7">
        <f t="shared" si="2"/>
        <v>216</v>
      </c>
      <c r="E19" s="7">
        <v>1.0900000000000001</v>
      </c>
      <c r="F19" s="12">
        <v>3.84</v>
      </c>
      <c r="G19" s="12">
        <f t="shared" si="13"/>
        <v>4.4476505041078465</v>
      </c>
      <c r="H19" s="12">
        <v>6.3</v>
      </c>
      <c r="I19" s="12">
        <f t="shared" si="3"/>
        <v>0.34460999999999997</v>
      </c>
      <c r="J19" s="12">
        <v>1.1829000000000001</v>
      </c>
      <c r="K19" s="66">
        <v>2.2475420194616502</v>
      </c>
      <c r="L19" s="12">
        <f t="shared" si="4"/>
        <v>6.3353703703703692</v>
      </c>
      <c r="M19" s="56">
        <f t="shared" si="14"/>
        <v>2.93304183813443E-2</v>
      </c>
      <c r="N19" s="56">
        <f t="shared" si="5"/>
        <v>7.3853972132121984E-2</v>
      </c>
      <c r="O19" s="30">
        <f t="shared" si="6"/>
        <v>0.35687285542744018</v>
      </c>
      <c r="P19" s="27">
        <f t="shared" si="7"/>
        <v>0.214311749897339</v>
      </c>
      <c r="R19">
        <v>85.426000000000002</v>
      </c>
      <c r="T19" s="1">
        <f t="shared" si="8"/>
        <v>9</v>
      </c>
      <c r="U19" s="1">
        <f>5/18*T19</f>
        <v>2.5</v>
      </c>
      <c r="V19" s="1">
        <f>U19/1000</f>
        <v>2.5000000000000001E-3</v>
      </c>
      <c r="W19" s="5">
        <f>I19-V19</f>
        <v>0.34210999999999997</v>
      </c>
      <c r="X19" s="1">
        <f>W19*1000/B19</f>
        <v>6.3353703703703692</v>
      </c>
      <c r="Y19" s="5">
        <f t="shared" si="0"/>
        <v>17.752457980538349</v>
      </c>
      <c r="Z19" s="1">
        <f>X19/Y19</f>
        <v>0.35687285542744018</v>
      </c>
      <c r="AA19" s="1">
        <f>(I19-(5/18*B19/6/1000))*1000/B19/(20-K19)</f>
        <v>0.35687285542744018</v>
      </c>
      <c r="AC19" s="5"/>
      <c r="AF19" s="62"/>
    </row>
    <row r="20" spans="2:32" x14ac:dyDescent="0.2">
      <c r="B20" s="11">
        <v>54</v>
      </c>
      <c r="C20" s="7">
        <v>10</v>
      </c>
      <c r="D20" s="7">
        <f t="shared" si="2"/>
        <v>240</v>
      </c>
      <c r="E20" s="7">
        <v>1.0900000000000001</v>
      </c>
      <c r="F20" s="12">
        <v>3.76</v>
      </c>
      <c r="G20" s="12">
        <f t="shared" si="13"/>
        <v>4.4428865229306442</v>
      </c>
      <c r="H20" s="12">
        <v>6.2</v>
      </c>
      <c r="I20" s="12">
        <f t="shared" si="3"/>
        <v>0.33914</v>
      </c>
      <c r="J20" s="12">
        <v>1.1658999999999999</v>
      </c>
      <c r="K20" s="66">
        <v>1.55862504739037</v>
      </c>
      <c r="L20" s="12">
        <f t="shared" si="4"/>
        <v>6.2340740740740737</v>
      </c>
      <c r="M20" s="56">
        <f t="shared" si="14"/>
        <v>2.5975308641975305E-2</v>
      </c>
      <c r="N20" s="56">
        <f t="shared" si="5"/>
        <v>6.9339062302540125E-2</v>
      </c>
      <c r="O20" s="30">
        <f t="shared" si="6"/>
        <v>0.33804822525946709</v>
      </c>
      <c r="P20" s="27">
        <f t="shared" si="7"/>
        <v>0.20445557086318372</v>
      </c>
      <c r="R20">
        <v>85.02</v>
      </c>
      <c r="T20" s="1">
        <f t="shared" si="8"/>
        <v>9</v>
      </c>
      <c r="U20" s="1">
        <f t="shared" si="9"/>
        <v>2.5</v>
      </c>
      <c r="V20" s="1">
        <f t="shared" si="10"/>
        <v>2.5000000000000001E-3</v>
      </c>
      <c r="W20" s="5">
        <f t="shared" si="15"/>
        <v>0.33663999999999999</v>
      </c>
      <c r="X20" s="1">
        <f t="shared" si="11"/>
        <v>6.2340740740740737</v>
      </c>
      <c r="Y20" s="5">
        <f t="shared" si="0"/>
        <v>18.441374952609628</v>
      </c>
      <c r="Z20" s="1">
        <f t="shared" si="12"/>
        <v>0.33804822525946709</v>
      </c>
      <c r="AA20" s="1">
        <f t="shared" ref="AA20:AA51" si="16">(I20-(5/18*B20/6/1000))*1000/B20/(20-K20)</f>
        <v>0.33804822525946709</v>
      </c>
    </row>
    <row r="21" spans="2:32" x14ac:dyDescent="0.2">
      <c r="B21" s="11">
        <v>54</v>
      </c>
      <c r="C21" s="7">
        <v>11</v>
      </c>
      <c r="D21" s="7">
        <f t="shared" si="2"/>
        <v>264</v>
      </c>
      <c r="E21" s="7">
        <v>1.0900000000000001</v>
      </c>
      <c r="F21" s="12">
        <v>3.83</v>
      </c>
      <c r="G21" s="12">
        <f t="shared" si="13"/>
        <v>4.4175264917121089</v>
      </c>
      <c r="H21" s="12">
        <v>6.6</v>
      </c>
      <c r="I21" s="12">
        <f t="shared" si="3"/>
        <v>0.36101999999999995</v>
      </c>
      <c r="J21" s="12">
        <v>0.99950000000000006</v>
      </c>
      <c r="K21" s="65">
        <v>0.69318842411222004</v>
      </c>
      <c r="L21" s="12">
        <f t="shared" si="4"/>
        <v>6.6392592592592576</v>
      </c>
      <c r="M21" s="56">
        <f t="shared" si="14"/>
        <v>2.5148709315375977E-2</v>
      </c>
      <c r="N21" s="56">
        <f t="shared" si="5"/>
        <v>6.6313680211696147E-2</v>
      </c>
      <c r="O21" s="30">
        <f t="shared" si="6"/>
        <v>0.34388170377914745</v>
      </c>
      <c r="P21" s="27">
        <f t="shared" si="7"/>
        <v>0.18368422860699174</v>
      </c>
      <c r="R21">
        <v>82.891000000000005</v>
      </c>
      <c r="T21" s="1">
        <f t="shared" si="8"/>
        <v>9</v>
      </c>
      <c r="U21" s="1">
        <f t="shared" si="9"/>
        <v>2.5</v>
      </c>
      <c r="V21" s="1">
        <f t="shared" si="10"/>
        <v>2.5000000000000001E-3</v>
      </c>
      <c r="W21" s="5">
        <f t="shared" si="15"/>
        <v>0.35851999999999995</v>
      </c>
      <c r="X21" s="1">
        <f t="shared" si="11"/>
        <v>6.6392592592592576</v>
      </c>
      <c r="Y21" s="5">
        <f t="shared" si="0"/>
        <v>19.306811575887782</v>
      </c>
      <c r="Z21" s="1">
        <f t="shared" si="12"/>
        <v>0.34388170377914745</v>
      </c>
      <c r="AA21" s="1">
        <f t="shared" si="16"/>
        <v>0.34388170377914745</v>
      </c>
    </row>
    <row r="22" spans="2:32" x14ac:dyDescent="0.2">
      <c r="B22" s="11">
        <v>54</v>
      </c>
      <c r="C22" s="7">
        <v>13</v>
      </c>
      <c r="D22" s="7">
        <f t="shared" si="2"/>
        <v>312</v>
      </c>
      <c r="E22" s="7">
        <v>1.0900000000000001</v>
      </c>
      <c r="F22" s="12">
        <v>4.4400000000000004</v>
      </c>
      <c r="G22" s="12">
        <f t="shared" si="13"/>
        <v>4.3677628894099332</v>
      </c>
      <c r="H22" s="12">
        <v>5.9</v>
      </c>
      <c r="I22" s="12">
        <f t="shared" si="3"/>
        <v>0.32273000000000002</v>
      </c>
      <c r="J22" s="12">
        <v>1.0925</v>
      </c>
      <c r="K22" s="12">
        <v>0.64170352584354895</v>
      </c>
      <c r="L22" s="12">
        <f t="shared" si="4"/>
        <v>5.9301851851851852</v>
      </c>
      <c r="M22" s="56">
        <f t="shared" si="14"/>
        <v>1.9007003798670465E-2</v>
      </c>
      <c r="N22" s="56">
        <f t="shared" si="5"/>
        <v>5.6276591263321955E-2</v>
      </c>
      <c r="O22" s="30">
        <f t="shared" si="6"/>
        <v>0.30633817356305348</v>
      </c>
      <c r="P22" s="27">
        <f t="shared" si="7"/>
        <v>0.17437669650581586</v>
      </c>
      <c r="R22">
        <v>78.867000000000004</v>
      </c>
      <c r="T22" s="1">
        <f t="shared" si="8"/>
        <v>9</v>
      </c>
      <c r="U22" s="1">
        <f t="shared" si="9"/>
        <v>2.5</v>
      </c>
      <c r="V22" s="1">
        <f t="shared" si="10"/>
        <v>2.5000000000000001E-3</v>
      </c>
      <c r="W22" s="5">
        <f t="shared" si="15"/>
        <v>0.32023000000000001</v>
      </c>
      <c r="X22" s="1">
        <f t="shared" si="11"/>
        <v>5.9301851851851852</v>
      </c>
      <c r="Y22" s="5">
        <f t="shared" si="0"/>
        <v>19.35829647415645</v>
      </c>
      <c r="Z22" s="1">
        <f t="shared" si="12"/>
        <v>0.30633817356305348</v>
      </c>
      <c r="AA22" s="1">
        <f t="shared" si="16"/>
        <v>0.30633817356305348</v>
      </c>
    </row>
    <row r="23" spans="2:32" x14ac:dyDescent="0.2">
      <c r="B23" s="14">
        <v>54</v>
      </c>
      <c r="C23" s="2">
        <v>14</v>
      </c>
      <c r="D23" s="2">
        <f t="shared" si="2"/>
        <v>336</v>
      </c>
      <c r="E23" s="2">
        <v>1.0900000000000001</v>
      </c>
      <c r="F23" s="3">
        <v>4.37</v>
      </c>
      <c r="G23" s="3">
        <f t="shared" si="13"/>
        <v>4.2007145681731011</v>
      </c>
      <c r="H23" s="3">
        <v>4.7</v>
      </c>
      <c r="I23" s="12">
        <f t="shared" si="3"/>
        <v>0.25708999999999999</v>
      </c>
      <c r="J23" s="3">
        <v>1.0177</v>
      </c>
      <c r="K23" s="3">
        <v>0.66499431315556701</v>
      </c>
      <c r="L23" s="3">
        <f t="shared" si="4"/>
        <v>4.7146296296296288</v>
      </c>
      <c r="M23" s="57">
        <f t="shared" si="14"/>
        <v>1.4031635802469133E-2</v>
      </c>
      <c r="N23" s="56">
        <f t="shared" si="5"/>
        <v>5.2187516925132238E-2</v>
      </c>
      <c r="O23" s="31">
        <f t="shared" si="6"/>
        <v>0.24383906092344571</v>
      </c>
      <c r="P23" s="41">
        <f t="shared" si="7"/>
        <v>0.20299318108495951</v>
      </c>
      <c r="R23">
        <v>66.733999999999995</v>
      </c>
      <c r="T23" s="1">
        <f t="shared" si="8"/>
        <v>9</v>
      </c>
      <c r="U23" s="1">
        <f t="shared" si="9"/>
        <v>2.5</v>
      </c>
      <c r="V23" s="1">
        <f t="shared" si="10"/>
        <v>2.5000000000000001E-3</v>
      </c>
      <c r="W23" s="5">
        <f t="shared" si="15"/>
        <v>0.25458999999999998</v>
      </c>
      <c r="X23" s="1">
        <f t="shared" si="11"/>
        <v>4.7146296296296288</v>
      </c>
      <c r="Y23" s="5">
        <f t="shared" si="0"/>
        <v>19.335005686844433</v>
      </c>
      <c r="Z23" s="1">
        <f t="shared" si="12"/>
        <v>0.24383906092344571</v>
      </c>
      <c r="AA23" s="1">
        <f t="shared" si="16"/>
        <v>0.24383906092344571</v>
      </c>
    </row>
    <row r="24" spans="2:32" x14ac:dyDescent="0.2">
      <c r="B24" s="35">
        <v>72</v>
      </c>
      <c r="C24" s="6">
        <v>7</v>
      </c>
      <c r="D24" s="6">
        <f>C24*24</f>
        <v>168</v>
      </c>
      <c r="E24" s="6">
        <v>1.44</v>
      </c>
      <c r="F24" s="36">
        <v>4.24</v>
      </c>
      <c r="G24" s="12">
        <f t="shared" si="13"/>
        <v>4.5515267637911894</v>
      </c>
      <c r="H24" s="36">
        <v>4.8</v>
      </c>
      <c r="I24" s="12">
        <f t="shared" si="3"/>
        <v>0.26255999999999996</v>
      </c>
      <c r="J24" s="36">
        <v>0.70079999999999998</v>
      </c>
      <c r="K24" s="64">
        <v>7.0062176165803098</v>
      </c>
      <c r="L24" s="12">
        <f t="shared" si="4"/>
        <v>3.6003703703703698</v>
      </c>
      <c r="M24" s="58">
        <f t="shared" si="14"/>
        <v>2.1430776014109344E-2</v>
      </c>
      <c r="N24" s="56">
        <f t="shared" si="5"/>
        <v>6.6629657044164819E-2</v>
      </c>
      <c r="O24" s="30">
        <f t="shared" si="6"/>
        <v>0.27708409023107156</v>
      </c>
      <c r="P24" s="27">
        <f t="shared" si="7"/>
        <v>0.2537692605277454</v>
      </c>
      <c r="R24">
        <v>94.777000000000001</v>
      </c>
      <c r="T24" s="1">
        <f t="shared" si="8"/>
        <v>12</v>
      </c>
      <c r="U24" s="1">
        <f t="shared" si="9"/>
        <v>3.3333333333333335</v>
      </c>
      <c r="V24" s="1">
        <f t="shared" si="10"/>
        <v>3.3333333333333335E-3</v>
      </c>
      <c r="W24" s="5">
        <f t="shared" si="15"/>
        <v>0.25922666666666661</v>
      </c>
      <c r="X24" s="1">
        <f t="shared" si="11"/>
        <v>3.6003703703703698</v>
      </c>
      <c r="Y24" s="5">
        <f t="shared" si="0"/>
        <v>12.99378238341969</v>
      </c>
      <c r="Z24" s="1">
        <f t="shared" si="12"/>
        <v>0.27708409023107156</v>
      </c>
      <c r="AA24" s="1">
        <f t="shared" si="16"/>
        <v>0.27708409023107156</v>
      </c>
    </row>
    <row r="25" spans="2:32" x14ac:dyDescent="0.2">
      <c r="B25" s="11">
        <v>72</v>
      </c>
      <c r="C25" s="7">
        <v>8</v>
      </c>
      <c r="D25" s="7">
        <f t="shared" si="2"/>
        <v>192</v>
      </c>
      <c r="E25" s="7">
        <v>1.44</v>
      </c>
      <c r="F25" s="12">
        <v>4.18</v>
      </c>
      <c r="G25" s="12">
        <f t="shared" si="13"/>
        <v>4.5503654706136576</v>
      </c>
      <c r="H25" s="12">
        <v>5.6</v>
      </c>
      <c r="I25" s="12">
        <f t="shared" si="3"/>
        <v>0.30631999999999998</v>
      </c>
      <c r="J25" s="12">
        <v>0.78779999999999994</v>
      </c>
      <c r="K25" s="66">
        <v>7.6289397194490096</v>
      </c>
      <c r="L25" s="12">
        <f t="shared" si="4"/>
        <v>4.2081481481481475</v>
      </c>
      <c r="M25" s="56">
        <f t="shared" si="14"/>
        <v>2.1917438271604934E-2</v>
      </c>
      <c r="N25" s="56">
        <f t="shared" si="5"/>
        <v>5.5057605627869738E-2</v>
      </c>
      <c r="O25" s="30">
        <f t="shared" si="6"/>
        <v>0.34016066955586138</v>
      </c>
      <c r="P25" s="27">
        <f t="shared" si="7"/>
        <v>0.17973885357753244</v>
      </c>
      <c r="R25">
        <v>94.667000000000002</v>
      </c>
      <c r="T25" s="1">
        <f t="shared" si="8"/>
        <v>12</v>
      </c>
      <c r="U25" s="1">
        <f t="shared" si="9"/>
        <v>3.3333333333333335</v>
      </c>
      <c r="V25" s="1">
        <f t="shared" si="10"/>
        <v>3.3333333333333335E-3</v>
      </c>
      <c r="W25" s="5">
        <f t="shared" si="15"/>
        <v>0.30298666666666663</v>
      </c>
      <c r="X25" s="1">
        <f t="shared" si="11"/>
        <v>4.2081481481481475</v>
      </c>
      <c r="Y25" s="5">
        <f t="shared" si="0"/>
        <v>12.37106028055099</v>
      </c>
      <c r="Z25" s="1">
        <f t="shared" si="12"/>
        <v>0.34016066955586138</v>
      </c>
      <c r="AA25" s="1">
        <f t="shared" si="16"/>
        <v>0.34016066955586138</v>
      </c>
    </row>
    <row r="26" spans="2:32" x14ac:dyDescent="0.2">
      <c r="B26" s="11">
        <v>72</v>
      </c>
      <c r="C26" s="7">
        <v>9</v>
      </c>
      <c r="D26" s="7">
        <f t="shared" si="2"/>
        <v>216</v>
      </c>
      <c r="E26" s="7">
        <v>1.44</v>
      </c>
      <c r="F26" s="12">
        <v>4</v>
      </c>
      <c r="G26" s="12">
        <f t="shared" si="13"/>
        <v>4.4328860849646903</v>
      </c>
      <c r="H26" s="12">
        <v>6.1</v>
      </c>
      <c r="I26" s="12">
        <f>H26*0.0547</f>
        <v>0.33366999999999997</v>
      </c>
      <c r="J26" s="12">
        <v>1.1171</v>
      </c>
      <c r="K26" s="66">
        <v>4.5030708959939396</v>
      </c>
      <c r="L26" s="12">
        <f t="shared" si="4"/>
        <v>4.5880092592592581</v>
      </c>
      <c r="M26" s="56">
        <f t="shared" si="14"/>
        <v>2.1240783607681751E-2</v>
      </c>
      <c r="N26" s="56">
        <f t="shared" si="5"/>
        <v>6.3411708814842871E-2</v>
      </c>
      <c r="O26" s="30">
        <f t="shared" si="6"/>
        <v>0.29605925331833821</v>
      </c>
      <c r="P26" s="27">
        <f t="shared" si="7"/>
        <v>0.19004318282987046</v>
      </c>
      <c r="R26">
        <v>84.174000000000007</v>
      </c>
      <c r="T26" s="1">
        <f t="shared" si="8"/>
        <v>12</v>
      </c>
      <c r="U26" s="1">
        <f t="shared" si="9"/>
        <v>3.3333333333333335</v>
      </c>
      <c r="V26" s="1">
        <f t="shared" si="10"/>
        <v>3.3333333333333335E-3</v>
      </c>
      <c r="W26" s="5">
        <f t="shared" si="15"/>
        <v>0.33033666666666661</v>
      </c>
      <c r="X26" s="1">
        <f t="shared" si="11"/>
        <v>4.5880092592592581</v>
      </c>
      <c r="Y26" s="5">
        <f t="shared" si="0"/>
        <v>15.49692910400606</v>
      </c>
      <c r="Z26" s="1">
        <f t="shared" si="12"/>
        <v>0.29605925331833821</v>
      </c>
      <c r="AA26" s="1">
        <f t="shared" si="16"/>
        <v>0.29605925331833821</v>
      </c>
    </row>
    <row r="27" spans="2:32" x14ac:dyDescent="0.2">
      <c r="B27" s="11">
        <v>72</v>
      </c>
      <c r="C27" s="7">
        <v>10</v>
      </c>
      <c r="D27" s="7">
        <f t="shared" si="2"/>
        <v>240</v>
      </c>
      <c r="E27" s="7">
        <v>1.44</v>
      </c>
      <c r="F27" s="12">
        <v>3.96</v>
      </c>
      <c r="G27" s="12">
        <f t="shared" si="13"/>
        <v>4.3863298624937164</v>
      </c>
      <c r="H27" s="12">
        <v>6</v>
      </c>
      <c r="I27" s="12">
        <f t="shared" si="3"/>
        <v>0.32819999999999999</v>
      </c>
      <c r="J27" s="12">
        <v>1.2358</v>
      </c>
      <c r="K27" s="66">
        <v>3.1423985846076099</v>
      </c>
      <c r="L27" s="12">
        <f t="shared" si="4"/>
        <v>4.512037037037036</v>
      </c>
      <c r="M27" s="56">
        <f t="shared" si="14"/>
        <v>1.8800154320987649E-2</v>
      </c>
      <c r="N27" s="56">
        <f t="shared" si="5"/>
        <v>6.2740005897468282E-2</v>
      </c>
      <c r="O27" s="30">
        <f t="shared" si="6"/>
        <v>0.2676559331220853</v>
      </c>
      <c r="P27" s="27">
        <f t="shared" si="7"/>
        <v>0.19116394240544876</v>
      </c>
      <c r="R27">
        <v>80.344999999999999</v>
      </c>
      <c r="T27" s="1">
        <f t="shared" si="8"/>
        <v>12</v>
      </c>
      <c r="U27" s="1">
        <f t="shared" si="9"/>
        <v>3.3333333333333335</v>
      </c>
      <c r="V27" s="1">
        <f t="shared" si="10"/>
        <v>3.3333333333333335E-3</v>
      </c>
      <c r="W27" s="5">
        <f t="shared" si="15"/>
        <v>0.32486666666666664</v>
      </c>
      <c r="X27" s="1">
        <f t="shared" si="11"/>
        <v>4.512037037037036</v>
      </c>
      <c r="Y27" s="5">
        <f t="shared" si="0"/>
        <v>16.857601415392391</v>
      </c>
      <c r="Z27" s="1">
        <f t="shared" si="12"/>
        <v>0.2676559331220853</v>
      </c>
      <c r="AA27" s="1">
        <f t="shared" si="16"/>
        <v>0.2676559331220853</v>
      </c>
    </row>
    <row r="28" spans="2:32" x14ac:dyDescent="0.2">
      <c r="B28" s="11">
        <v>72</v>
      </c>
      <c r="C28" s="7">
        <v>11</v>
      </c>
      <c r="D28" s="7">
        <f t="shared" si="2"/>
        <v>264</v>
      </c>
      <c r="E28" s="7">
        <v>1.44</v>
      </c>
      <c r="F28" s="12">
        <v>3.89</v>
      </c>
      <c r="G28" s="12">
        <f t="shared" si="13"/>
        <v>4.4135858619149513</v>
      </c>
      <c r="H28" s="12">
        <v>6.3</v>
      </c>
      <c r="I28" s="12">
        <f t="shared" si="3"/>
        <v>0.34460999999999997</v>
      </c>
      <c r="J28" s="12">
        <v>1.0915999999999999</v>
      </c>
      <c r="K28" s="66">
        <v>3.33362820674839</v>
      </c>
      <c r="L28" s="12">
        <f t="shared" si="4"/>
        <v>4.7399537037037032</v>
      </c>
      <c r="M28" s="56">
        <f t="shared" si="14"/>
        <v>1.7954370089786755E-2</v>
      </c>
      <c r="N28" s="56">
        <f t="shared" si="5"/>
        <v>5.6312014368377308E-2</v>
      </c>
      <c r="O28" s="30">
        <f t="shared" si="6"/>
        <v>0.2844022539820551</v>
      </c>
      <c r="P28" s="27">
        <f t="shared" si="7"/>
        <v>0.16340795208606052</v>
      </c>
      <c r="R28">
        <v>82.564999999999998</v>
      </c>
      <c r="T28" s="1">
        <f t="shared" si="8"/>
        <v>12</v>
      </c>
      <c r="U28" s="1">
        <f t="shared" si="9"/>
        <v>3.3333333333333335</v>
      </c>
      <c r="V28" s="1">
        <f t="shared" si="10"/>
        <v>3.3333333333333335E-3</v>
      </c>
      <c r="W28" s="5">
        <f t="shared" si="15"/>
        <v>0.34127666666666662</v>
      </c>
      <c r="X28" s="1">
        <f t="shared" si="11"/>
        <v>4.7399537037037032</v>
      </c>
      <c r="Y28" s="5">
        <f t="shared" si="0"/>
        <v>16.66637179325161</v>
      </c>
      <c r="Z28" s="1">
        <f t="shared" si="12"/>
        <v>0.2844022539820551</v>
      </c>
      <c r="AA28" s="1">
        <f t="shared" si="16"/>
        <v>0.2844022539820551</v>
      </c>
    </row>
    <row r="29" spans="2:32" x14ac:dyDescent="0.2">
      <c r="B29" s="11">
        <v>72</v>
      </c>
      <c r="C29" s="7">
        <v>13</v>
      </c>
      <c r="D29" s="7">
        <f t="shared" si="2"/>
        <v>312</v>
      </c>
      <c r="E29" s="7">
        <v>1.44</v>
      </c>
      <c r="F29" s="12">
        <v>3.83</v>
      </c>
      <c r="G29" s="12">
        <f t="shared" si="13"/>
        <v>4.3742086537458142</v>
      </c>
      <c r="H29" s="12">
        <v>7.5</v>
      </c>
      <c r="I29" s="12">
        <f t="shared" si="3"/>
        <v>0.41025</v>
      </c>
      <c r="J29" s="12">
        <v>1.2942</v>
      </c>
      <c r="K29" s="65">
        <v>0.74712498420321005</v>
      </c>
      <c r="L29" s="12">
        <f t="shared" si="4"/>
        <v>5.6516203703703702</v>
      </c>
      <c r="M29" s="56">
        <f t="shared" si="14"/>
        <v>1.8114167853751188E-2</v>
      </c>
      <c r="N29" s="56">
        <f t="shared" si="5"/>
        <v>5.5938701973707657E-2</v>
      </c>
      <c r="O29" s="30">
        <f t="shared" si="6"/>
        <v>0.293546826940562</v>
      </c>
      <c r="P29" s="27">
        <f t="shared" si="7"/>
        <v>0.13635271657210885</v>
      </c>
      <c r="R29">
        <v>79.376999999999995</v>
      </c>
      <c r="T29" s="1">
        <f t="shared" si="8"/>
        <v>12</v>
      </c>
      <c r="U29" s="1">
        <f t="shared" si="9"/>
        <v>3.3333333333333335</v>
      </c>
      <c r="V29" s="1">
        <f t="shared" si="10"/>
        <v>3.3333333333333335E-3</v>
      </c>
      <c r="W29" s="5">
        <f t="shared" si="15"/>
        <v>0.40691666666666665</v>
      </c>
      <c r="X29" s="1">
        <f t="shared" si="11"/>
        <v>5.6516203703703702</v>
      </c>
      <c r="Y29" s="5">
        <f t="shared" si="0"/>
        <v>19.252875015796789</v>
      </c>
      <c r="Z29" s="1">
        <f t="shared" si="12"/>
        <v>0.293546826940562</v>
      </c>
      <c r="AA29" s="1">
        <f t="shared" si="16"/>
        <v>0.293546826940562</v>
      </c>
    </row>
    <row r="30" spans="2:32" x14ac:dyDescent="0.2">
      <c r="B30" s="14">
        <v>72</v>
      </c>
      <c r="C30" s="2">
        <v>14</v>
      </c>
      <c r="D30" s="2">
        <f t="shared" si="2"/>
        <v>336</v>
      </c>
      <c r="E30" s="2">
        <v>1.44</v>
      </c>
      <c r="F30" s="3">
        <v>4.04</v>
      </c>
      <c r="G30" s="3">
        <f t="shared" si="13"/>
        <v>4.329614293334151</v>
      </c>
      <c r="H30" s="3">
        <v>6.7</v>
      </c>
      <c r="I30" s="12">
        <f t="shared" si="3"/>
        <v>0.36648999999999998</v>
      </c>
      <c r="J30" s="3">
        <v>1.3512</v>
      </c>
      <c r="K30" s="3">
        <v>0.63189687855427801</v>
      </c>
      <c r="L30" s="3">
        <f t="shared" si="4"/>
        <v>5.0438425925925925</v>
      </c>
      <c r="M30" s="57">
        <f t="shared" si="14"/>
        <v>1.5011436287477954E-2</v>
      </c>
      <c r="N30" s="56">
        <f t="shared" si="5"/>
        <v>5.2286021194778931E-2</v>
      </c>
      <c r="O30" s="31">
        <f t="shared" si="6"/>
        <v>0.26042006080645536</v>
      </c>
      <c r="P30" s="41">
        <f t="shared" si="7"/>
        <v>0.14266697916663193</v>
      </c>
      <c r="R30">
        <v>75.915000000000006</v>
      </c>
      <c r="T30" s="1">
        <f t="shared" si="8"/>
        <v>12</v>
      </c>
      <c r="U30" s="1">
        <f t="shared" si="9"/>
        <v>3.3333333333333335</v>
      </c>
      <c r="V30" s="1">
        <f t="shared" si="10"/>
        <v>3.3333333333333335E-3</v>
      </c>
      <c r="W30" s="5">
        <f t="shared" si="15"/>
        <v>0.36315666666666663</v>
      </c>
      <c r="X30" s="1">
        <f t="shared" si="11"/>
        <v>5.0438425925925925</v>
      </c>
      <c r="Y30" s="5">
        <f t="shared" si="0"/>
        <v>19.368103121445721</v>
      </c>
      <c r="Z30" s="1">
        <f t="shared" si="12"/>
        <v>0.26042006080645536</v>
      </c>
      <c r="AA30" s="1">
        <f t="shared" si="16"/>
        <v>0.26042006080645536</v>
      </c>
    </row>
    <row r="31" spans="2:32" x14ac:dyDescent="0.2">
      <c r="B31" s="11">
        <v>90</v>
      </c>
      <c r="C31" s="7">
        <v>7</v>
      </c>
      <c r="D31" s="6">
        <f>C31*24</f>
        <v>168</v>
      </c>
      <c r="E31" s="7">
        <v>1.8</v>
      </c>
      <c r="F31" s="12">
        <v>4.55</v>
      </c>
      <c r="G31" s="12">
        <f t="shared" si="13"/>
        <v>4.5928951551124788</v>
      </c>
      <c r="H31" s="12">
        <v>4.0999999999999996</v>
      </c>
      <c r="I31" s="12">
        <f t="shared" si="3"/>
        <v>0.22426999999999997</v>
      </c>
      <c r="J31" s="12">
        <v>0.6704</v>
      </c>
      <c r="K31" s="64">
        <v>9.4358144824971593</v>
      </c>
      <c r="L31" s="12">
        <f t="shared" si="4"/>
        <v>2.4455925925925923</v>
      </c>
      <c r="M31" s="56">
        <f t="shared" si="14"/>
        <v>1.4557098765432097E-2</v>
      </c>
      <c r="N31" s="56">
        <f t="shared" si="5"/>
        <v>5.2167770937516907E-2</v>
      </c>
      <c r="O31" s="30">
        <f t="shared" si="6"/>
        <v>0.23149845187219703</v>
      </c>
      <c r="P31" s="27">
        <f t="shared" si="7"/>
        <v>0.23261145466409647</v>
      </c>
      <c r="R31">
        <v>98.78</v>
      </c>
      <c r="T31" s="1">
        <f t="shared" si="8"/>
        <v>15</v>
      </c>
      <c r="U31" s="1">
        <f t="shared" si="9"/>
        <v>4.166666666666667</v>
      </c>
      <c r="V31" s="1">
        <f t="shared" si="10"/>
        <v>4.1666666666666666E-3</v>
      </c>
      <c r="W31" s="5">
        <f t="shared" si="15"/>
        <v>0.22010333333333329</v>
      </c>
      <c r="X31" s="1">
        <f t="shared" si="11"/>
        <v>2.4455925925925923</v>
      </c>
      <c r="Y31" s="5">
        <f t="shared" si="0"/>
        <v>10.564185517502841</v>
      </c>
      <c r="Z31" s="1">
        <f t="shared" si="12"/>
        <v>0.23149845187219703</v>
      </c>
      <c r="AA31" s="1">
        <f t="shared" si="16"/>
        <v>0.23149845187219703</v>
      </c>
    </row>
    <row r="32" spans="2:32" x14ac:dyDescent="0.2">
      <c r="B32" s="11">
        <v>90</v>
      </c>
      <c r="C32" s="7">
        <v>8</v>
      </c>
      <c r="D32" s="7">
        <f t="shared" si="2"/>
        <v>192</v>
      </c>
      <c r="E32" s="7">
        <v>1.8</v>
      </c>
      <c r="F32" s="12">
        <v>4.7</v>
      </c>
      <c r="G32" s="12">
        <f t="shared" si="13"/>
        <v>4.646254546087488</v>
      </c>
      <c r="H32" s="12">
        <v>5.9</v>
      </c>
      <c r="I32" s="12">
        <f t="shared" si="3"/>
        <v>0.32273000000000002</v>
      </c>
      <c r="J32" s="12">
        <v>0.76190000000000002</v>
      </c>
      <c r="K32" s="66">
        <v>7.4279034500189596</v>
      </c>
      <c r="L32" s="12">
        <f t="shared" si="4"/>
        <v>3.5395925925925931</v>
      </c>
      <c r="M32" s="56">
        <f t="shared" si="14"/>
        <v>1.8435378086419756E-2</v>
      </c>
      <c r="N32" s="56">
        <f t="shared" si="5"/>
        <v>5.6104669531151251E-2</v>
      </c>
      <c r="O32" s="30">
        <f t="shared" si="6"/>
        <v>0.28154354196380482</v>
      </c>
      <c r="P32" s="27">
        <f t="shared" si="7"/>
        <v>0.1738439857811522</v>
      </c>
      <c r="R32">
        <v>104.194</v>
      </c>
      <c r="T32" s="1">
        <f t="shared" si="8"/>
        <v>15</v>
      </c>
      <c r="U32" s="1">
        <f t="shared" si="9"/>
        <v>4.166666666666667</v>
      </c>
      <c r="V32" s="1">
        <f t="shared" si="10"/>
        <v>4.1666666666666666E-3</v>
      </c>
      <c r="W32" s="5">
        <f t="shared" si="15"/>
        <v>0.31856333333333336</v>
      </c>
      <c r="X32" s="1">
        <f t="shared" si="11"/>
        <v>3.5395925925925931</v>
      </c>
      <c r="Y32" s="5">
        <f t="shared" si="0"/>
        <v>12.57209654998104</v>
      </c>
      <c r="Z32" s="1">
        <f t="shared" si="12"/>
        <v>0.28154354196380482</v>
      </c>
      <c r="AA32" s="1">
        <f t="shared" si="16"/>
        <v>0.28154354196380482</v>
      </c>
    </row>
    <row r="33" spans="2:27" x14ac:dyDescent="0.2">
      <c r="B33" s="11">
        <v>90</v>
      </c>
      <c r="C33" s="7">
        <v>9</v>
      </c>
      <c r="D33" s="7">
        <f t="shared" si="2"/>
        <v>216</v>
      </c>
      <c r="E33" s="7">
        <v>1.8</v>
      </c>
      <c r="F33" s="12">
        <v>4.42</v>
      </c>
      <c r="G33" s="12">
        <f t="shared" si="13"/>
        <v>4.4930647522037832</v>
      </c>
      <c r="H33" s="12">
        <v>5.6</v>
      </c>
      <c r="I33" s="12">
        <f t="shared" si="3"/>
        <v>0.30631999999999998</v>
      </c>
      <c r="J33" s="12">
        <v>0.88370000000000004</v>
      </c>
      <c r="K33" s="66">
        <v>7.7539744723872097</v>
      </c>
      <c r="L33" s="12">
        <f t="shared" si="4"/>
        <v>3.3572592592592589</v>
      </c>
      <c r="M33" s="56">
        <f t="shared" si="14"/>
        <v>1.5542866941015088E-2</v>
      </c>
      <c r="N33" s="56">
        <f t="shared" si="5"/>
        <v>4.8361229294503656E-2</v>
      </c>
      <c r="O33" s="30">
        <f t="shared" si="6"/>
        <v>0.27415092771848198</v>
      </c>
      <c r="P33" s="27">
        <f t="shared" si="7"/>
        <v>0.15787813167440473</v>
      </c>
      <c r="R33">
        <v>89.394999999999996</v>
      </c>
      <c r="T33" s="1">
        <f t="shared" si="8"/>
        <v>15</v>
      </c>
      <c r="U33" s="1">
        <f t="shared" si="9"/>
        <v>4.166666666666667</v>
      </c>
      <c r="V33" s="1">
        <f t="shared" si="10"/>
        <v>4.1666666666666666E-3</v>
      </c>
      <c r="W33" s="5">
        <f t="shared" si="15"/>
        <v>0.30215333333333333</v>
      </c>
      <c r="X33" s="1">
        <f t="shared" si="11"/>
        <v>3.3572592592592589</v>
      </c>
      <c r="Y33" s="5">
        <f t="shared" si="0"/>
        <v>12.24602552761279</v>
      </c>
      <c r="Z33" s="1">
        <f t="shared" si="12"/>
        <v>0.27415092771848198</v>
      </c>
      <c r="AA33" s="1">
        <f t="shared" si="16"/>
        <v>0.27415092771848198</v>
      </c>
    </row>
    <row r="34" spans="2:27" x14ac:dyDescent="0.2">
      <c r="B34" s="11">
        <v>90</v>
      </c>
      <c r="C34" s="7">
        <v>10</v>
      </c>
      <c r="D34" s="7">
        <f t="shared" si="2"/>
        <v>240</v>
      </c>
      <c r="E34" s="7">
        <v>1.8</v>
      </c>
      <c r="F34" s="12">
        <v>4.18</v>
      </c>
      <c r="G34" s="12">
        <f t="shared" si="13"/>
        <v>4.3047000267263478</v>
      </c>
      <c r="H34" s="12">
        <v>6.5</v>
      </c>
      <c r="I34" s="12">
        <f t="shared" si="3"/>
        <v>0.35554999999999998</v>
      </c>
      <c r="J34" s="12">
        <v>1.2813000000000001</v>
      </c>
      <c r="K34" s="66">
        <v>5.0228232023252897</v>
      </c>
      <c r="L34" s="12">
        <f t="shared" si="4"/>
        <v>3.9042592592592591</v>
      </c>
      <c r="M34" s="56">
        <f t="shared" si="14"/>
        <v>1.6267746913580246E-2</v>
      </c>
      <c r="N34" s="56">
        <f t="shared" si="5"/>
        <v>5.4904903323644623E-2</v>
      </c>
      <c r="O34" s="30">
        <f t="shared" si="6"/>
        <v>0.26068058833794477</v>
      </c>
      <c r="P34" s="27">
        <f t="shared" si="7"/>
        <v>0.15442245344858566</v>
      </c>
      <c r="R34">
        <v>74.046999999999997</v>
      </c>
      <c r="T34" s="1">
        <f t="shared" si="8"/>
        <v>15</v>
      </c>
      <c r="U34" s="1">
        <f t="shared" si="9"/>
        <v>4.166666666666667</v>
      </c>
      <c r="V34" s="1">
        <f t="shared" si="10"/>
        <v>4.1666666666666666E-3</v>
      </c>
      <c r="W34" s="5">
        <f t="shared" si="15"/>
        <v>0.35138333333333333</v>
      </c>
      <c r="X34" s="1">
        <f t="shared" si="11"/>
        <v>3.9042592592592591</v>
      </c>
      <c r="Y34" s="5">
        <f t="shared" si="0"/>
        <v>14.97717679767471</v>
      </c>
      <c r="Z34" s="1">
        <f t="shared" si="12"/>
        <v>0.26068058833794477</v>
      </c>
      <c r="AA34" s="1">
        <f t="shared" si="16"/>
        <v>0.26068058833794477</v>
      </c>
    </row>
    <row r="35" spans="2:27" x14ac:dyDescent="0.2">
      <c r="B35" s="11">
        <v>90</v>
      </c>
      <c r="C35" s="7">
        <v>11</v>
      </c>
      <c r="D35" s="7">
        <f t="shared" si="2"/>
        <v>264</v>
      </c>
      <c r="E35" s="7">
        <v>1.8</v>
      </c>
      <c r="F35" s="12">
        <v>4.0599999999999996</v>
      </c>
      <c r="G35" s="12">
        <f t="shared" si="13"/>
        <v>4.3404491465068231</v>
      </c>
      <c r="H35" s="12">
        <v>6.5</v>
      </c>
      <c r="I35" s="12">
        <f t="shared" si="3"/>
        <v>0.35554999999999998</v>
      </c>
      <c r="J35" s="12">
        <v>1.3362000000000001</v>
      </c>
      <c r="K35" s="66">
        <v>4.8487552129407296</v>
      </c>
      <c r="L35" s="12">
        <f t="shared" si="4"/>
        <v>3.9042592592592591</v>
      </c>
      <c r="M35" s="56">
        <f t="shared" ref="M35:M49" si="17">L35/D35</f>
        <v>1.4788860830527497E-2</v>
      </c>
      <c r="N35" s="56">
        <f t="shared" si="5"/>
        <v>5.0572896920679046E-2</v>
      </c>
      <c r="O35" s="30">
        <f t="shared" si="6"/>
        <v>0.25768570926884504</v>
      </c>
      <c r="P35" s="27">
        <f t="shared" si="7"/>
        <v>0.14223849506589523</v>
      </c>
      <c r="R35">
        <v>76.742000000000004</v>
      </c>
      <c r="T35" s="1">
        <f t="shared" si="8"/>
        <v>15</v>
      </c>
      <c r="U35" s="1">
        <f t="shared" si="9"/>
        <v>4.166666666666667</v>
      </c>
      <c r="V35" s="1">
        <f t="shared" si="10"/>
        <v>4.1666666666666666E-3</v>
      </c>
      <c r="W35" s="5">
        <f t="shared" si="15"/>
        <v>0.35138333333333333</v>
      </c>
      <c r="X35" s="1">
        <f t="shared" si="11"/>
        <v>3.9042592592592591</v>
      </c>
      <c r="Y35" s="5">
        <f t="shared" ref="Y35:Y51" si="18">20-K35</f>
        <v>15.151244787059269</v>
      </c>
      <c r="Z35" s="1">
        <f t="shared" si="12"/>
        <v>0.25768570926884504</v>
      </c>
      <c r="AA35" s="1">
        <f t="shared" si="16"/>
        <v>0.25768570926884504</v>
      </c>
    </row>
    <row r="36" spans="2:27" x14ac:dyDescent="0.2">
      <c r="B36" s="11">
        <v>90</v>
      </c>
      <c r="C36" s="7">
        <v>13</v>
      </c>
      <c r="D36" s="7">
        <f t="shared" si="2"/>
        <v>312</v>
      </c>
      <c r="E36" s="7">
        <v>1.8</v>
      </c>
      <c r="F36" s="12">
        <v>4.01</v>
      </c>
      <c r="G36" s="12">
        <f t="shared" si="13"/>
        <v>4.3829886717677642</v>
      </c>
      <c r="H36" s="12">
        <v>7.9</v>
      </c>
      <c r="I36" s="12">
        <f t="shared" si="3"/>
        <v>0.43213000000000001</v>
      </c>
      <c r="J36" s="12">
        <v>1.409</v>
      </c>
      <c r="K36" s="66">
        <v>2.1813471502590698</v>
      </c>
      <c r="L36" s="12">
        <f t="shared" si="4"/>
        <v>4.7551481481481481</v>
      </c>
      <c r="M36" s="56">
        <f t="shared" si="17"/>
        <v>1.5240859449192783E-2</v>
      </c>
      <c r="N36" s="56">
        <f t="shared" si="5"/>
        <v>5.1341836056861961E-2</v>
      </c>
      <c r="O36" s="30">
        <f t="shared" si="6"/>
        <v>0.26686350467943959</v>
      </c>
      <c r="P36" s="27">
        <f t="shared" si="7"/>
        <v>0.1188110893871334</v>
      </c>
      <c r="R36">
        <v>80.076999999999998</v>
      </c>
      <c r="T36" s="1">
        <f t="shared" si="8"/>
        <v>15</v>
      </c>
      <c r="U36" s="1">
        <f t="shared" si="9"/>
        <v>4.166666666666667</v>
      </c>
      <c r="V36" s="1">
        <f t="shared" si="10"/>
        <v>4.1666666666666666E-3</v>
      </c>
      <c r="W36" s="5">
        <f t="shared" si="15"/>
        <v>0.42796333333333336</v>
      </c>
      <c r="X36" s="1">
        <f t="shared" si="11"/>
        <v>4.7551481481481481</v>
      </c>
      <c r="Y36" s="5">
        <f t="shared" si="18"/>
        <v>17.818652849740928</v>
      </c>
      <c r="Z36" s="1">
        <f t="shared" si="12"/>
        <v>0.26686350467943959</v>
      </c>
      <c r="AA36" s="1">
        <f t="shared" si="16"/>
        <v>0.26686350467943959</v>
      </c>
    </row>
    <row r="37" spans="2:27" x14ac:dyDescent="0.2">
      <c r="B37" s="14">
        <v>90</v>
      </c>
      <c r="C37" s="2">
        <v>14</v>
      </c>
      <c r="D37" s="2">
        <f t="shared" si="2"/>
        <v>336</v>
      </c>
      <c r="E37" s="2">
        <v>1.8</v>
      </c>
      <c r="F37" s="3">
        <v>3.98</v>
      </c>
      <c r="G37" s="3">
        <f t="shared" si="13"/>
        <v>4.3343845611960408</v>
      </c>
      <c r="H37" s="3">
        <v>8.1</v>
      </c>
      <c r="I37" s="12">
        <f t="shared" si="3"/>
        <v>0.44306999999999996</v>
      </c>
      <c r="J37" s="3">
        <v>1.5801000000000001</v>
      </c>
      <c r="K37" s="65">
        <v>1.1614558321749</v>
      </c>
      <c r="L37" s="3">
        <f t="shared" si="4"/>
        <v>4.8767037037037033</v>
      </c>
      <c r="M37" s="57">
        <f t="shared" si="17"/>
        <v>1.4513999118165784E-2</v>
      </c>
      <c r="N37" s="56">
        <f t="shared" si="5"/>
        <v>5.0709952880431841E-2</v>
      </c>
      <c r="O37" s="31">
        <f t="shared" si="6"/>
        <v>0.25886839557553332</v>
      </c>
      <c r="P37" s="41">
        <f t="shared" si="7"/>
        <v>0.11445133473363542</v>
      </c>
      <c r="R37">
        <v>76.278000000000006</v>
      </c>
      <c r="T37" s="1">
        <f t="shared" si="8"/>
        <v>15</v>
      </c>
      <c r="U37" s="1">
        <f t="shared" si="9"/>
        <v>4.166666666666667</v>
      </c>
      <c r="V37" s="1">
        <f t="shared" si="10"/>
        <v>4.1666666666666666E-3</v>
      </c>
      <c r="W37" s="5">
        <f t="shared" si="15"/>
        <v>0.43890333333333331</v>
      </c>
      <c r="X37" s="1">
        <f t="shared" si="11"/>
        <v>4.8767037037037033</v>
      </c>
      <c r="Y37" s="5">
        <f t="shared" si="18"/>
        <v>18.838544167825098</v>
      </c>
      <c r="Z37" s="1">
        <f t="shared" si="12"/>
        <v>0.25886839557553332</v>
      </c>
      <c r="AA37" s="1">
        <f t="shared" si="16"/>
        <v>0.25886839557553332</v>
      </c>
    </row>
    <row r="38" spans="2:27" x14ac:dyDescent="0.2">
      <c r="B38" s="11">
        <v>108</v>
      </c>
      <c r="C38" s="7">
        <v>7</v>
      </c>
      <c r="D38" s="6">
        <f>C38*24</f>
        <v>168</v>
      </c>
      <c r="E38" s="7">
        <v>2.15</v>
      </c>
      <c r="F38" s="12">
        <v>5.26</v>
      </c>
      <c r="G38" s="12">
        <f t="shared" si="13"/>
        <v>5.0604535010771166</v>
      </c>
      <c r="H38" s="12">
        <v>3.6</v>
      </c>
      <c r="I38" s="12">
        <f t="shared" si="3"/>
        <v>0.19692000000000001</v>
      </c>
      <c r="J38" s="12">
        <v>0.58430000000000004</v>
      </c>
      <c r="K38" s="64">
        <v>8.1070137748009596</v>
      </c>
      <c r="L38" s="12">
        <f t="shared" si="4"/>
        <v>1.7770370370370372</v>
      </c>
      <c r="M38" s="56">
        <f t="shared" si="17"/>
        <v>1.0577601410934745E-2</v>
      </c>
      <c r="N38" s="56">
        <f t="shared" si="5"/>
        <v>6.0077298959518091E-2</v>
      </c>
      <c r="O38" s="30">
        <f t="shared" si="6"/>
        <v>0.14941890988419915</v>
      </c>
      <c r="P38" s="27">
        <f t="shared" si="7"/>
        <v>0.30508480072881417</v>
      </c>
      <c r="R38">
        <v>157.66200000000001</v>
      </c>
      <c r="T38" s="1">
        <f t="shared" si="8"/>
        <v>18</v>
      </c>
      <c r="U38" s="1">
        <f>5/18*T38</f>
        <v>5</v>
      </c>
      <c r="V38" s="1">
        <f t="shared" si="10"/>
        <v>5.0000000000000001E-3</v>
      </c>
      <c r="W38" s="5">
        <f t="shared" si="15"/>
        <v>0.19192000000000001</v>
      </c>
      <c r="X38" s="1">
        <f t="shared" si="11"/>
        <v>1.7770370370370372</v>
      </c>
      <c r="Y38" s="5">
        <f t="shared" si="18"/>
        <v>11.89298622519904</v>
      </c>
      <c r="Z38" s="1">
        <f t="shared" si="12"/>
        <v>0.14941890988419915</v>
      </c>
      <c r="AA38" s="1">
        <f t="shared" si="16"/>
        <v>0.14941890988419915</v>
      </c>
    </row>
    <row r="39" spans="2:27" x14ac:dyDescent="0.2">
      <c r="B39" s="11">
        <v>108</v>
      </c>
      <c r="C39" s="7">
        <v>8</v>
      </c>
      <c r="D39" s="7">
        <f t="shared" si="2"/>
        <v>192</v>
      </c>
      <c r="E39" s="7">
        <v>2.15</v>
      </c>
      <c r="F39" s="12">
        <v>5.31</v>
      </c>
      <c r="G39" s="12">
        <f t="shared" si="13"/>
        <v>4.8834305128608904</v>
      </c>
      <c r="H39" s="12">
        <v>4.5999999999999996</v>
      </c>
      <c r="I39" s="12">
        <f t="shared" si="3"/>
        <v>0.25161999999999995</v>
      </c>
      <c r="J39" s="12">
        <v>0.70240000000000002</v>
      </c>
      <c r="K39" s="66">
        <v>7.8716542398584597</v>
      </c>
      <c r="L39" s="12">
        <f t="shared" si="4"/>
        <v>2.2835185185185178</v>
      </c>
      <c r="M39" s="56">
        <f t="shared" si="17"/>
        <v>1.1893325617283948E-2</v>
      </c>
      <c r="N39" s="56">
        <f t="shared" si="5"/>
        <v>5.3793467500737185E-2</v>
      </c>
      <c r="O39" s="30">
        <f t="shared" si="6"/>
        <v>0.18827947056251046</v>
      </c>
      <c r="P39" s="27">
        <f t="shared" si="7"/>
        <v>0.21378852039081628</v>
      </c>
      <c r="R39">
        <v>132.083</v>
      </c>
      <c r="T39" s="1">
        <f t="shared" si="8"/>
        <v>18</v>
      </c>
      <c r="U39" s="1">
        <f t="shared" si="9"/>
        <v>5</v>
      </c>
      <c r="V39" s="1">
        <f t="shared" si="10"/>
        <v>5.0000000000000001E-3</v>
      </c>
      <c r="W39" s="5">
        <f t="shared" si="15"/>
        <v>0.24661999999999995</v>
      </c>
      <c r="X39" s="1">
        <f t="shared" si="11"/>
        <v>2.2835185185185178</v>
      </c>
      <c r="Y39" s="5">
        <f t="shared" si="18"/>
        <v>12.12834576014154</v>
      </c>
      <c r="Z39" s="1">
        <f t="shared" si="12"/>
        <v>0.18827947056251046</v>
      </c>
      <c r="AA39" s="1">
        <f t="shared" si="16"/>
        <v>0.18827947056251046</v>
      </c>
    </row>
    <row r="40" spans="2:27" x14ac:dyDescent="0.2">
      <c r="B40" s="11">
        <v>108</v>
      </c>
      <c r="C40" s="7">
        <v>9</v>
      </c>
      <c r="D40" s="7">
        <f t="shared" si="2"/>
        <v>216</v>
      </c>
      <c r="E40" s="7">
        <v>2.15</v>
      </c>
      <c r="F40" s="12">
        <v>4.79</v>
      </c>
      <c r="G40" s="12">
        <f t="shared" si="13"/>
        <v>4.5144464722499258</v>
      </c>
      <c r="H40" s="12">
        <v>5.7</v>
      </c>
      <c r="I40" s="12">
        <f t="shared" si="3"/>
        <v>0.31179000000000001</v>
      </c>
      <c r="J40" s="12">
        <v>1.0331999999999999</v>
      </c>
      <c r="K40" s="66">
        <v>7.0454442057374003</v>
      </c>
      <c r="L40" s="12">
        <f t="shared" si="4"/>
        <v>2.8406481481481483</v>
      </c>
      <c r="M40" s="56">
        <f t="shared" si="17"/>
        <v>1.3151148834019204E-2</v>
      </c>
      <c r="N40" s="56">
        <f t="shared" si="5"/>
        <v>5.1641462010474995E-2</v>
      </c>
      <c r="O40" s="30">
        <f t="shared" si="6"/>
        <v>0.21927792764659931</v>
      </c>
      <c r="P40" s="27">
        <f t="shared" si="7"/>
        <v>0.16562898749310431</v>
      </c>
      <c r="R40">
        <v>91.326999999999998</v>
      </c>
      <c r="T40" s="1">
        <f t="shared" si="8"/>
        <v>18</v>
      </c>
      <c r="U40" s="1">
        <f t="shared" si="9"/>
        <v>5</v>
      </c>
      <c r="V40" s="1">
        <f t="shared" si="10"/>
        <v>5.0000000000000001E-3</v>
      </c>
      <c r="W40" s="5">
        <f t="shared" si="15"/>
        <v>0.30679000000000001</v>
      </c>
      <c r="X40" s="1">
        <f t="shared" si="11"/>
        <v>2.8406481481481483</v>
      </c>
      <c r="Y40" s="5">
        <f t="shared" si="18"/>
        <v>12.9545557942626</v>
      </c>
      <c r="Z40" s="1">
        <f t="shared" si="12"/>
        <v>0.21927792764659931</v>
      </c>
      <c r="AA40" s="1">
        <f t="shared" si="16"/>
        <v>0.21927792764659931</v>
      </c>
    </row>
    <row r="41" spans="2:27" x14ac:dyDescent="0.2">
      <c r="B41" s="11">
        <v>108</v>
      </c>
      <c r="C41" s="7">
        <v>10</v>
      </c>
      <c r="D41" s="7">
        <f t="shared" si="2"/>
        <v>240</v>
      </c>
      <c r="E41" s="7">
        <v>2.15</v>
      </c>
      <c r="F41" s="12">
        <v>4.6100000000000003</v>
      </c>
      <c r="G41" s="12">
        <f t="shared" si="13"/>
        <v>4.3239339610196996</v>
      </c>
      <c r="H41" s="12">
        <v>7.1</v>
      </c>
      <c r="I41" s="12">
        <f t="shared" si="3"/>
        <v>0.38836999999999999</v>
      </c>
      <c r="J41" s="12">
        <v>1.4886999999999999</v>
      </c>
      <c r="K41" s="66">
        <v>5.3439909010489099</v>
      </c>
      <c r="L41" s="12">
        <f t="shared" si="4"/>
        <v>3.5497222222222224</v>
      </c>
      <c r="M41" s="56">
        <f t="shared" si="17"/>
        <v>1.479050925925926E-2</v>
      </c>
      <c r="N41" s="56">
        <f t="shared" si="5"/>
        <v>5.356670457896287E-2</v>
      </c>
      <c r="O41" s="30">
        <f t="shared" si="6"/>
        <v>0.24220251217476871</v>
      </c>
      <c r="P41" s="27">
        <f t="shared" si="7"/>
        <v>0.13792698864217851</v>
      </c>
      <c r="R41">
        <v>75.484999999999999</v>
      </c>
      <c r="T41" s="1">
        <f t="shared" si="8"/>
        <v>18</v>
      </c>
      <c r="U41" s="1">
        <f t="shared" si="9"/>
        <v>5</v>
      </c>
      <c r="V41" s="1">
        <f t="shared" si="10"/>
        <v>5.0000000000000001E-3</v>
      </c>
      <c r="W41" s="5">
        <f t="shared" si="15"/>
        <v>0.38336999999999999</v>
      </c>
      <c r="X41" s="1">
        <f t="shared" si="11"/>
        <v>3.5497222222222224</v>
      </c>
      <c r="Y41" s="5">
        <f t="shared" si="18"/>
        <v>14.65600909895109</v>
      </c>
      <c r="Z41" s="1">
        <f t="shared" si="12"/>
        <v>0.24220251217476871</v>
      </c>
      <c r="AA41" s="1">
        <f t="shared" si="16"/>
        <v>0.24220251217476871</v>
      </c>
    </row>
    <row r="42" spans="2:27" x14ac:dyDescent="0.2">
      <c r="B42" s="11">
        <v>108</v>
      </c>
      <c r="C42" s="7">
        <v>11</v>
      </c>
      <c r="D42" s="7">
        <f t="shared" si="2"/>
        <v>264</v>
      </c>
      <c r="E42" s="7">
        <v>2.15</v>
      </c>
      <c r="F42" s="12">
        <v>4.2699999999999996</v>
      </c>
      <c r="G42" s="12">
        <f t="shared" si="13"/>
        <v>4.3950785861684958</v>
      </c>
      <c r="H42" s="12">
        <v>7.1</v>
      </c>
      <c r="I42" s="12">
        <f t="shared" si="3"/>
        <v>0.38836999999999999</v>
      </c>
      <c r="J42" s="12">
        <v>1.2087000000000001</v>
      </c>
      <c r="K42" s="66">
        <v>5.5572854795905497</v>
      </c>
      <c r="L42" s="12">
        <f t="shared" si="4"/>
        <v>3.5497222222222224</v>
      </c>
      <c r="M42" s="56">
        <f t="shared" si="17"/>
        <v>1.3445917508417509E-2</v>
      </c>
      <c r="N42" s="56">
        <f t="shared" si="5"/>
        <v>4.7889070153066093E-2</v>
      </c>
      <c r="O42" s="30">
        <f t="shared" si="6"/>
        <v>0.24577943552134882</v>
      </c>
      <c r="P42" s="27">
        <f t="shared" si="7"/>
        <v>0.12330785115499676</v>
      </c>
      <c r="R42">
        <v>81.051000000000002</v>
      </c>
      <c r="T42" s="1">
        <f t="shared" si="8"/>
        <v>18</v>
      </c>
      <c r="U42" s="1">
        <f t="shared" si="9"/>
        <v>5</v>
      </c>
      <c r="V42" s="1">
        <f t="shared" si="10"/>
        <v>5.0000000000000001E-3</v>
      </c>
      <c r="W42" s="5">
        <f t="shared" si="15"/>
        <v>0.38336999999999999</v>
      </c>
      <c r="X42" s="1">
        <f t="shared" si="11"/>
        <v>3.5497222222222224</v>
      </c>
      <c r="Y42" s="5">
        <f t="shared" si="18"/>
        <v>14.442714520409449</v>
      </c>
      <c r="Z42" s="1">
        <f t="shared" si="12"/>
        <v>0.24577943552134882</v>
      </c>
      <c r="AA42" s="1">
        <f t="shared" si="16"/>
        <v>0.24577943552134882</v>
      </c>
    </row>
    <row r="43" spans="2:27" x14ac:dyDescent="0.2">
      <c r="B43" s="11">
        <v>108</v>
      </c>
      <c r="C43" s="7">
        <v>13</v>
      </c>
      <c r="D43" s="7">
        <f t="shared" si="2"/>
        <v>312</v>
      </c>
      <c r="E43" s="7">
        <v>2.15</v>
      </c>
      <c r="F43" s="12">
        <v>4</v>
      </c>
      <c r="G43" s="12">
        <f t="shared" si="13"/>
        <v>4.2999756617850124</v>
      </c>
      <c r="H43" s="12">
        <v>9.1</v>
      </c>
      <c r="I43" s="12">
        <f t="shared" si="3"/>
        <v>0.49776999999999999</v>
      </c>
      <c r="J43" s="12">
        <v>1.5710999999999999</v>
      </c>
      <c r="K43" s="66">
        <v>3.3973714141286502</v>
      </c>
      <c r="L43" s="12">
        <f t="shared" si="4"/>
        <v>4.5626851851851846</v>
      </c>
      <c r="M43" s="56">
        <f t="shared" si="17"/>
        <v>1.4623990978157643E-2</v>
      </c>
      <c r="N43" s="56">
        <f t="shared" si="5"/>
        <v>4.7444322390613303E-2</v>
      </c>
      <c r="O43" s="30">
        <f t="shared" si="6"/>
        <v>0.27481703644614314</v>
      </c>
      <c r="P43" s="27">
        <f t="shared" si="7"/>
        <v>9.5313744079822613E-2</v>
      </c>
      <c r="R43">
        <v>73.697999999999993</v>
      </c>
      <c r="T43" s="1">
        <f t="shared" si="8"/>
        <v>18</v>
      </c>
      <c r="U43" s="1">
        <f t="shared" si="9"/>
        <v>5</v>
      </c>
      <c r="V43" s="1">
        <f t="shared" si="10"/>
        <v>5.0000000000000001E-3</v>
      </c>
      <c r="W43" s="5">
        <f t="shared" si="15"/>
        <v>0.49276999999999999</v>
      </c>
      <c r="X43" s="1">
        <f t="shared" si="11"/>
        <v>4.5626851851851846</v>
      </c>
      <c r="Y43" s="5">
        <f t="shared" si="18"/>
        <v>16.602628585871351</v>
      </c>
      <c r="Z43" s="1">
        <f t="shared" si="12"/>
        <v>0.27481703644614314</v>
      </c>
      <c r="AA43" s="1">
        <f t="shared" si="16"/>
        <v>0.27481703644614314</v>
      </c>
    </row>
    <row r="44" spans="2:27" x14ac:dyDescent="0.2">
      <c r="B44" s="14">
        <v>108</v>
      </c>
      <c r="C44" s="2">
        <v>14</v>
      </c>
      <c r="D44" s="2">
        <f t="shared" si="2"/>
        <v>336</v>
      </c>
      <c r="E44" s="2">
        <v>2.15</v>
      </c>
      <c r="F44" s="3">
        <v>4</v>
      </c>
      <c r="G44" s="3">
        <f t="shared" si="13"/>
        <v>4.3451032805692833</v>
      </c>
      <c r="H44" s="3">
        <v>8.3000000000000007</v>
      </c>
      <c r="I44" s="12">
        <f t="shared" si="3"/>
        <v>0.45401000000000002</v>
      </c>
      <c r="J44" s="3">
        <v>1.5668</v>
      </c>
      <c r="K44" s="65">
        <v>2.1764438266144301</v>
      </c>
      <c r="L44" s="3">
        <f t="shared" si="4"/>
        <v>4.1575000000000006</v>
      </c>
      <c r="M44" s="57">
        <f t="shared" si="17"/>
        <v>1.2373511904761906E-2</v>
      </c>
      <c r="N44" s="56">
        <f t="shared" si="5"/>
        <v>4.7689155277933236E-2</v>
      </c>
      <c r="O44" s="31">
        <f t="shared" si="6"/>
        <v>0.23325872567496092</v>
      </c>
      <c r="P44" s="41">
        <f t="shared" si="7"/>
        <v>0.10503987858843028</v>
      </c>
      <c r="R44">
        <v>77.099999999999994</v>
      </c>
      <c r="T44" s="1">
        <f t="shared" si="8"/>
        <v>18</v>
      </c>
      <c r="U44" s="1">
        <f t="shared" si="9"/>
        <v>5</v>
      </c>
      <c r="V44" s="1">
        <f t="shared" si="10"/>
        <v>5.0000000000000001E-3</v>
      </c>
      <c r="W44" s="5">
        <f t="shared" si="15"/>
        <v>0.44901000000000002</v>
      </c>
      <c r="X44" s="1">
        <f t="shared" si="11"/>
        <v>4.1575000000000006</v>
      </c>
      <c r="Y44" s="5">
        <f t="shared" si="18"/>
        <v>17.823556173385569</v>
      </c>
      <c r="Z44" s="1">
        <f t="shared" si="12"/>
        <v>0.23325872567496092</v>
      </c>
      <c r="AA44" s="1">
        <f t="shared" si="16"/>
        <v>0.23325872567496092</v>
      </c>
    </row>
    <row r="45" spans="2:27" x14ac:dyDescent="0.2">
      <c r="B45" s="11">
        <v>126</v>
      </c>
      <c r="C45" s="7">
        <v>7</v>
      </c>
      <c r="D45" s="6">
        <f>C45*24</f>
        <v>168</v>
      </c>
      <c r="E45" s="7">
        <v>2.5</v>
      </c>
      <c r="F45" s="12">
        <v>5.93</v>
      </c>
      <c r="G45" s="12">
        <f t="shared" si="13"/>
        <v>5.1357984370502621</v>
      </c>
      <c r="H45" s="12">
        <v>1.8087499999999999</v>
      </c>
      <c r="I45" s="12">
        <f t="shared" si="3"/>
        <v>9.8938624999999988E-2</v>
      </c>
      <c r="J45" s="12">
        <v>0.28939999999999999</v>
      </c>
      <c r="K45" s="64">
        <v>11.4167572349299</v>
      </c>
      <c r="L45" s="12">
        <f t="shared" si="4"/>
        <v>0.73893088624338621</v>
      </c>
      <c r="M45" s="56">
        <f t="shared" si="17"/>
        <v>4.3983981324011087E-3</v>
      </c>
      <c r="N45" s="56">
        <f t="shared" si="5"/>
        <v>4.0376445030179162E-2</v>
      </c>
      <c r="O45" s="30">
        <f t="shared" si="6"/>
        <v>8.6089943680784528E-2</v>
      </c>
      <c r="P45" s="27">
        <f t="shared" si="7"/>
        <v>0.40809587792613011</v>
      </c>
      <c r="R45">
        <v>170</v>
      </c>
      <c r="T45" s="1">
        <f t="shared" si="8"/>
        <v>21</v>
      </c>
      <c r="U45" s="1">
        <f t="shared" si="9"/>
        <v>5.8333333333333339</v>
      </c>
      <c r="V45" s="1">
        <f t="shared" si="10"/>
        <v>5.8333333333333336E-3</v>
      </c>
      <c r="W45" s="5">
        <f t="shared" si="15"/>
        <v>9.3105291666666659E-2</v>
      </c>
      <c r="X45" s="1">
        <f t="shared" si="11"/>
        <v>0.73893088624338621</v>
      </c>
      <c r="Y45" s="5">
        <f t="shared" si="18"/>
        <v>8.5832427650701</v>
      </c>
      <c r="Z45" s="1">
        <f t="shared" si="12"/>
        <v>8.6089943680784528E-2</v>
      </c>
      <c r="AA45" s="1">
        <f t="shared" si="16"/>
        <v>8.6089943680784528E-2</v>
      </c>
    </row>
    <row r="46" spans="2:27" x14ac:dyDescent="0.2">
      <c r="B46" s="11">
        <v>126</v>
      </c>
      <c r="C46" s="7">
        <v>8</v>
      </c>
      <c r="D46" s="7">
        <f t="shared" si="2"/>
        <v>192</v>
      </c>
      <c r="E46" s="39">
        <v>2.5</v>
      </c>
      <c r="F46" s="12">
        <v>5.59</v>
      </c>
      <c r="G46" s="12">
        <f t="shared" si="13"/>
        <v>5.0488619235684498</v>
      </c>
      <c r="H46" s="12">
        <v>3.3</v>
      </c>
      <c r="I46" s="12">
        <f t="shared" si="3"/>
        <v>0.18050999999999998</v>
      </c>
      <c r="J46" s="12">
        <v>0.41</v>
      </c>
      <c r="K46" s="66">
        <v>7.7000379122962199</v>
      </c>
      <c r="L46" s="12">
        <f t="shared" si="4"/>
        <v>1.3863227513227512</v>
      </c>
      <c r="M46" s="56">
        <f t="shared" si="17"/>
        <v>7.2204309964726621E-3</v>
      </c>
      <c r="N46" s="56">
        <f t="shared" si="5"/>
        <v>5.4687302540123849E-2</v>
      </c>
      <c r="O46" s="30">
        <f t="shared" si="6"/>
        <v>0.11270951417879997</v>
      </c>
      <c r="P46" s="27">
        <f t="shared" si="7"/>
        <v>0.30295996088927957</v>
      </c>
      <c r="R46">
        <v>155.845</v>
      </c>
      <c r="T46" s="1">
        <f t="shared" si="8"/>
        <v>21</v>
      </c>
      <c r="U46" s="1">
        <f t="shared" si="9"/>
        <v>5.8333333333333339</v>
      </c>
      <c r="V46" s="1">
        <f t="shared" si="10"/>
        <v>5.8333333333333336E-3</v>
      </c>
      <c r="W46" s="5">
        <f t="shared" si="15"/>
        <v>0.17467666666666665</v>
      </c>
      <c r="X46" s="1">
        <f t="shared" si="11"/>
        <v>1.3863227513227512</v>
      </c>
      <c r="Y46" s="5">
        <f t="shared" si="18"/>
        <v>12.299962087703779</v>
      </c>
      <c r="Z46" s="1">
        <f t="shared" si="12"/>
        <v>0.11270951417879997</v>
      </c>
      <c r="AA46" s="1">
        <f t="shared" si="16"/>
        <v>0.11270951417879997</v>
      </c>
    </row>
    <row r="47" spans="2:27" x14ac:dyDescent="0.2">
      <c r="B47" s="11">
        <v>126</v>
      </c>
      <c r="C47" s="7">
        <v>9</v>
      </c>
      <c r="D47" s="7">
        <f t="shared" si="2"/>
        <v>216</v>
      </c>
      <c r="E47" s="39">
        <v>2.5</v>
      </c>
      <c r="F47" s="12">
        <v>5.23</v>
      </c>
      <c r="G47" s="12">
        <f t="shared" si="13"/>
        <v>4.6132970731996998</v>
      </c>
      <c r="H47" s="12">
        <v>5.8</v>
      </c>
      <c r="I47" s="12">
        <f t="shared" si="3"/>
        <v>0.31725999999999999</v>
      </c>
      <c r="J47" s="12">
        <v>0.88300000000000001</v>
      </c>
      <c r="K47" s="66">
        <v>7.3273853153039301</v>
      </c>
      <c r="L47" s="12">
        <f t="shared" si="4"/>
        <v>2.4716402116402114</v>
      </c>
      <c r="M47" s="56">
        <f t="shared" si="17"/>
        <v>1.1442778757593572E-2</v>
      </c>
      <c r="N47" s="56">
        <f t="shared" si="5"/>
        <v>5.0336179095815135E-2</v>
      </c>
      <c r="O47" s="30">
        <f t="shared" si="6"/>
        <v>0.19503790442118135</v>
      </c>
      <c r="P47" s="27">
        <f t="shared" si="7"/>
        <v>0.15865907803005463</v>
      </c>
      <c r="R47">
        <v>100.816</v>
      </c>
      <c r="T47" s="1">
        <f t="shared" si="8"/>
        <v>21</v>
      </c>
      <c r="U47" s="1">
        <f t="shared" si="9"/>
        <v>5.8333333333333339</v>
      </c>
      <c r="V47" s="1">
        <f t="shared" si="10"/>
        <v>5.8333333333333336E-3</v>
      </c>
      <c r="W47" s="5">
        <f t="shared" si="15"/>
        <v>0.31142666666666663</v>
      </c>
      <c r="X47" s="1">
        <f t="shared" si="11"/>
        <v>2.4716402116402114</v>
      </c>
      <c r="Y47" s="5">
        <f t="shared" si="18"/>
        <v>12.67261468469607</v>
      </c>
      <c r="Z47" s="1">
        <f t="shared" si="12"/>
        <v>0.19503790442118135</v>
      </c>
      <c r="AA47" s="1">
        <f t="shared" si="16"/>
        <v>0.19503790442118135</v>
      </c>
    </row>
    <row r="48" spans="2:27" x14ac:dyDescent="0.2">
      <c r="B48" s="11">
        <v>126</v>
      </c>
      <c r="C48" s="7">
        <v>10</v>
      </c>
      <c r="D48" s="7">
        <f t="shared" si="2"/>
        <v>240</v>
      </c>
      <c r="E48" s="39">
        <v>2.5</v>
      </c>
      <c r="F48" s="12">
        <v>5.07</v>
      </c>
      <c r="G48" s="12">
        <f t="shared" si="13"/>
        <v>4.4347139569528879</v>
      </c>
      <c r="H48" s="12">
        <v>5.9</v>
      </c>
      <c r="I48" s="12">
        <f t="shared" si="3"/>
        <v>0.32273000000000002</v>
      </c>
      <c r="J48" s="12">
        <v>1.2733000000000001</v>
      </c>
      <c r="K48" s="66">
        <v>7.3151270061923404</v>
      </c>
      <c r="L48" s="12">
        <f t="shared" si="4"/>
        <v>2.5150529100529098</v>
      </c>
      <c r="M48" s="56">
        <f t="shared" si="17"/>
        <v>1.0479387125220457E-2</v>
      </c>
      <c r="N48" s="56">
        <f t="shared" si="5"/>
        <v>4.5353637474198578E-2</v>
      </c>
      <c r="O48" s="30">
        <f t="shared" si="6"/>
        <v>0.19827182434389976</v>
      </c>
      <c r="P48" s="27">
        <f t="shared" si="7"/>
        <v>0.14053121021968387</v>
      </c>
      <c r="R48">
        <v>84.328000000000003</v>
      </c>
      <c r="T48" s="1">
        <f t="shared" si="8"/>
        <v>21</v>
      </c>
      <c r="U48" s="1">
        <f t="shared" si="9"/>
        <v>5.8333333333333339</v>
      </c>
      <c r="V48" s="1">
        <f t="shared" si="10"/>
        <v>5.8333333333333336E-3</v>
      </c>
      <c r="W48" s="5">
        <f t="shared" si="15"/>
        <v>0.31689666666666666</v>
      </c>
      <c r="X48" s="1">
        <f t="shared" si="11"/>
        <v>2.5150529100529098</v>
      </c>
      <c r="Y48" s="5">
        <f t="shared" si="18"/>
        <v>12.684872993807659</v>
      </c>
      <c r="Z48" s="1">
        <f t="shared" si="12"/>
        <v>0.19827182434389976</v>
      </c>
      <c r="AA48" s="1">
        <f t="shared" si="16"/>
        <v>0.19827182434389976</v>
      </c>
    </row>
    <row r="49" spans="2:27" x14ac:dyDescent="0.2">
      <c r="B49" s="11">
        <v>126</v>
      </c>
      <c r="C49" s="7">
        <v>11</v>
      </c>
      <c r="D49" s="7">
        <f t="shared" si="2"/>
        <v>264</v>
      </c>
      <c r="E49" s="39">
        <v>2.5</v>
      </c>
      <c r="F49" s="12">
        <v>4.5599999999999996</v>
      </c>
      <c r="G49" s="12">
        <f t="shared" si="13"/>
        <v>4.2992562519415065</v>
      </c>
      <c r="H49" s="12">
        <v>7.6</v>
      </c>
      <c r="I49" s="12">
        <f t="shared" si="3"/>
        <v>0.41571999999999998</v>
      </c>
      <c r="J49" s="12">
        <v>1.1454</v>
      </c>
      <c r="K49" s="66">
        <v>6.1579426260583903</v>
      </c>
      <c r="L49" s="12">
        <f t="shared" si="4"/>
        <v>3.2530687830687826</v>
      </c>
      <c r="M49" s="56">
        <f t="shared" si="17"/>
        <v>1.2322230238896904E-2</v>
      </c>
      <c r="N49" s="56">
        <f t="shared" si="5"/>
        <v>4.5613853689172763E-2</v>
      </c>
      <c r="O49" s="30">
        <f t="shared" si="6"/>
        <v>0.23501338675223618</v>
      </c>
      <c r="P49" s="27">
        <f t="shared" si="7"/>
        <v>0.10972253846139894</v>
      </c>
      <c r="R49">
        <v>73.644999999999996</v>
      </c>
      <c r="T49" s="1">
        <f t="shared" si="8"/>
        <v>21</v>
      </c>
      <c r="U49" s="1">
        <f t="shared" si="9"/>
        <v>5.8333333333333339</v>
      </c>
      <c r="V49" s="1">
        <f t="shared" si="10"/>
        <v>5.8333333333333336E-3</v>
      </c>
      <c r="W49" s="5">
        <f t="shared" si="15"/>
        <v>0.40988666666666662</v>
      </c>
      <c r="X49" s="1">
        <f t="shared" si="11"/>
        <v>3.2530687830687826</v>
      </c>
      <c r="Y49" s="5">
        <f t="shared" si="18"/>
        <v>13.842057373941611</v>
      </c>
      <c r="Z49" s="1">
        <f t="shared" si="12"/>
        <v>0.23501338675223618</v>
      </c>
      <c r="AA49" s="1">
        <f t="shared" si="16"/>
        <v>0.23501338675223618</v>
      </c>
    </row>
    <row r="50" spans="2:27" x14ac:dyDescent="0.2">
      <c r="B50" s="11">
        <v>126</v>
      </c>
      <c r="C50" s="7">
        <v>13</v>
      </c>
      <c r="D50" s="7">
        <f t="shared" si="2"/>
        <v>312</v>
      </c>
      <c r="E50" s="39">
        <v>2.5</v>
      </c>
      <c r="F50" s="12">
        <v>4.2</v>
      </c>
      <c r="G50" s="12">
        <f t="shared" si="13"/>
        <v>4.3012909786337392</v>
      </c>
      <c r="H50" s="12">
        <v>8.5</v>
      </c>
      <c r="I50" s="12">
        <f t="shared" si="3"/>
        <v>0.46494999999999997</v>
      </c>
      <c r="J50" s="12">
        <v>1.4633</v>
      </c>
      <c r="K50" s="66">
        <v>4.10345001895615</v>
      </c>
      <c r="L50" s="12">
        <f t="shared" si="4"/>
        <v>3.6437830687830686</v>
      </c>
      <c r="M50" s="56">
        <f>L50/D50</f>
        <v>1.167879188712522E-2</v>
      </c>
      <c r="N50" s="56">
        <f t="shared" si="5"/>
        <v>4.5181249939243107E-2</v>
      </c>
      <c r="O50" s="30">
        <f t="shared" si="6"/>
        <v>0.22921848282351631</v>
      </c>
      <c r="P50" s="27">
        <f t="shared" si="7"/>
        <v>9.7174427227106369E-2</v>
      </c>
      <c r="R50">
        <v>73.795000000000002</v>
      </c>
      <c r="T50" s="1">
        <f t="shared" si="8"/>
        <v>21</v>
      </c>
      <c r="U50" s="1">
        <f t="shared" si="9"/>
        <v>5.8333333333333339</v>
      </c>
      <c r="V50" s="1">
        <f t="shared" si="10"/>
        <v>5.8333333333333336E-3</v>
      </c>
      <c r="W50" s="5">
        <f t="shared" si="15"/>
        <v>0.45911666666666662</v>
      </c>
      <c r="X50" s="1">
        <f t="shared" si="11"/>
        <v>3.6437830687830686</v>
      </c>
      <c r="Y50" s="5">
        <f t="shared" si="18"/>
        <v>15.896549981043851</v>
      </c>
      <c r="Z50" s="1">
        <f t="shared" si="12"/>
        <v>0.22921848282351631</v>
      </c>
      <c r="AA50" s="1">
        <f t="shared" si="16"/>
        <v>0.22921848282351631</v>
      </c>
    </row>
    <row r="51" spans="2:27" x14ac:dyDescent="0.2">
      <c r="B51" s="14">
        <v>126</v>
      </c>
      <c r="C51" s="2">
        <v>14</v>
      </c>
      <c r="D51" s="2">
        <f t="shared" si="2"/>
        <v>336</v>
      </c>
      <c r="E51" s="2">
        <v>2.5</v>
      </c>
      <c r="F51" s="3">
        <v>4.2300000000000004</v>
      </c>
      <c r="G51" s="3">
        <f t="shared" si="13"/>
        <v>4.3257736931230832</v>
      </c>
      <c r="H51" s="3">
        <v>7.4</v>
      </c>
      <c r="I51" s="12">
        <f t="shared" si="3"/>
        <v>0.40478000000000003</v>
      </c>
      <c r="J51" s="3">
        <v>1.6451</v>
      </c>
      <c r="K51" s="65">
        <v>4.3130671047643103</v>
      </c>
      <c r="L51" s="3">
        <f t="shared" si="4"/>
        <v>3.1662433862433863</v>
      </c>
      <c r="M51" s="57">
        <f>L51/D51</f>
        <v>9.4233434114386495E-3</v>
      </c>
      <c r="N51" s="56">
        <f t="shared" si="5"/>
        <v>4.1330157426296692E-2</v>
      </c>
      <c r="O51" s="31">
        <f t="shared" si="6"/>
        <v>0.2018395442492785</v>
      </c>
      <c r="P51" s="41">
        <f t="shared" si="7"/>
        <v>0.10210523599559437</v>
      </c>
      <c r="R51">
        <v>75.623999999999995</v>
      </c>
      <c r="T51" s="1">
        <f t="shared" si="8"/>
        <v>21</v>
      </c>
      <c r="U51" s="1">
        <f t="shared" si="9"/>
        <v>5.8333333333333339</v>
      </c>
      <c r="V51" s="1">
        <f t="shared" si="10"/>
        <v>5.8333333333333336E-3</v>
      </c>
      <c r="W51" s="5">
        <f t="shared" si="15"/>
        <v>0.39894666666666667</v>
      </c>
      <c r="X51" s="1">
        <f t="shared" si="11"/>
        <v>3.1662433862433863</v>
      </c>
      <c r="Y51" s="5">
        <f t="shared" si="18"/>
        <v>15.686932895235689</v>
      </c>
      <c r="Z51" s="1">
        <f t="shared" si="12"/>
        <v>0.2018395442492785</v>
      </c>
      <c r="AA51" s="1">
        <f t="shared" si="16"/>
        <v>0.2018395442492785</v>
      </c>
    </row>
    <row r="54" spans="2:27" x14ac:dyDescent="0.2">
      <c r="B54" s="1" t="s">
        <v>71</v>
      </c>
    </row>
    <row r="55" spans="2:27" x14ac:dyDescent="0.2">
      <c r="B55" s="1">
        <v>147</v>
      </c>
      <c r="D55" s="1">
        <v>392</v>
      </c>
      <c r="I55" s="1">
        <v>1.4</v>
      </c>
      <c r="L55" s="3">
        <f>I55*1000/B55</f>
        <v>9.5238095238095237</v>
      </c>
      <c r="M55" s="3">
        <f>L55/D55</f>
        <v>2.4295432458697766E-2</v>
      </c>
    </row>
  </sheetData>
  <conditionalFormatting sqref="F3:F51">
    <cfRule type="colorScale" priority="1">
      <colorScale>
        <cfvo type="min"/>
        <cfvo type="max"/>
        <color rgb="FF69ACC9"/>
        <color theme="0"/>
      </colorScale>
    </cfRule>
  </conditionalFormatting>
  <conditionalFormatting sqref="G3:G51">
    <cfRule type="colorScale" priority="9">
      <colorScale>
        <cfvo type="min"/>
        <cfvo type="max"/>
        <color rgb="FF57BEB1"/>
        <color theme="0"/>
      </colorScale>
    </cfRule>
  </conditionalFormatting>
  <conditionalFormatting sqref="H3:H51">
    <cfRule type="colorScale" priority="5">
      <colorScale>
        <cfvo type="min"/>
        <cfvo type="max"/>
        <color rgb="FFFCFCFF"/>
        <color rgb="FF58BE8D"/>
      </colorScale>
    </cfRule>
  </conditionalFormatting>
  <conditionalFormatting sqref="I3:I51">
    <cfRule type="colorScale" priority="7">
      <colorScale>
        <cfvo type="min"/>
        <cfvo type="max"/>
        <color rgb="FFFCFCFF"/>
        <color rgb="FF58BE8D"/>
      </colorScale>
    </cfRule>
  </conditionalFormatting>
  <conditionalFormatting sqref="J3:J51">
    <cfRule type="colorScale" priority="10">
      <colorScale>
        <cfvo type="min"/>
        <cfvo type="max"/>
        <color rgb="FFFCFCFF"/>
        <color rgb="FF58BE8D"/>
      </colorScale>
    </cfRule>
  </conditionalFormatting>
  <conditionalFormatting sqref="K3:K51">
    <cfRule type="colorScale" priority="13">
      <colorScale>
        <cfvo type="min"/>
        <cfvo type="max"/>
        <color rgb="FFFCFCFF"/>
        <color rgb="FF7CBE72"/>
      </colorScale>
    </cfRule>
  </conditionalFormatting>
  <conditionalFormatting sqref="L3:L51">
    <cfRule type="colorScale" priority="14">
      <colorScale>
        <cfvo type="min"/>
        <cfvo type="max"/>
        <color rgb="FFFCFCFF"/>
        <color rgb="FFA5BD64"/>
      </colorScale>
    </cfRule>
  </conditionalFormatting>
  <conditionalFormatting sqref="L55">
    <cfRule type="colorScale" priority="3">
      <colorScale>
        <cfvo type="min"/>
        <cfvo type="max"/>
        <color rgb="FFFCFCFF"/>
        <color rgb="FFA5BD64"/>
      </colorScale>
    </cfRule>
  </conditionalFormatting>
  <conditionalFormatting sqref="M3:M51">
    <cfRule type="colorScale" priority="15">
      <colorScale>
        <cfvo type="min"/>
        <cfvo type="max"/>
        <color rgb="FFFCFCFF"/>
        <color rgb="FFC0AC64"/>
      </colorScale>
    </cfRule>
  </conditionalFormatting>
  <conditionalFormatting sqref="M55">
    <cfRule type="colorScale" priority="4">
      <colorScale>
        <cfvo type="min"/>
        <cfvo type="max"/>
        <color rgb="FFFCFCFF"/>
        <color rgb="FFC0AC64"/>
      </colorScale>
    </cfRule>
  </conditionalFormatting>
  <conditionalFormatting sqref="N3:N51">
    <cfRule type="colorScale" priority="16">
      <colorScale>
        <cfvo type="min"/>
        <cfvo type="max"/>
        <color rgb="FFFCFCFF"/>
        <color rgb="FFC68B5D"/>
      </colorScale>
    </cfRule>
  </conditionalFormatting>
  <conditionalFormatting sqref="O3:O51">
    <cfRule type="colorScale" priority="17">
      <colorScale>
        <cfvo type="min"/>
        <cfvo type="max"/>
        <color rgb="FFFCFCFF"/>
        <color rgb="FFCA6768"/>
      </colorScale>
    </cfRule>
  </conditionalFormatting>
  <conditionalFormatting sqref="P3:P51">
    <cfRule type="colorScale" priority="8">
      <colorScale>
        <cfvo type="min"/>
        <cfvo type="max"/>
        <color theme="0"/>
        <color rgb="FFD9688D"/>
      </colorScale>
    </cfRule>
  </conditionalFormatting>
  <conditionalFormatting sqref="R3:R51">
    <cfRule type="colorScale" priority="2">
      <colorScale>
        <cfvo type="min"/>
        <cfvo type="max"/>
        <color theme="0"/>
        <color rgb="FF57BEB1"/>
      </colorScale>
    </cfRule>
  </conditionalFormatting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DFDA4-3687-49F4-A3C2-BAF7112365EF}">
  <dimension ref="B1:L51"/>
  <sheetViews>
    <sheetView zoomScaleNormal="100" workbookViewId="0">
      <selection activeCell="H35" sqref="H35"/>
    </sheetView>
  </sheetViews>
  <sheetFormatPr baseColWidth="10" defaultColWidth="8.83203125" defaultRowHeight="15" x14ac:dyDescent="0.2"/>
  <cols>
    <col min="1" max="1" width="2.6640625" style="1" customWidth="1"/>
    <col min="2" max="2" width="12.6640625" style="1" customWidth="1"/>
    <col min="3" max="3" width="12.1640625" style="1" customWidth="1"/>
    <col min="4" max="4" width="9.1640625" style="1" customWidth="1"/>
    <col min="5" max="5" width="11.5" style="1" customWidth="1"/>
    <col min="6" max="6" width="13.5" style="1" customWidth="1"/>
    <col min="7" max="7" width="9.83203125" style="1" customWidth="1"/>
    <col min="8" max="8" width="13" style="27" customWidth="1"/>
    <col min="9" max="9" width="12.83203125" style="27" customWidth="1"/>
    <col min="10" max="10" width="11.1640625" style="29" customWidth="1"/>
    <col min="11" max="11" width="8.1640625" style="29" customWidth="1"/>
    <col min="12" max="12" width="6.1640625" style="29" customWidth="1"/>
    <col min="13" max="16384" width="8.83203125" style="1"/>
  </cols>
  <sheetData>
    <row r="1" spans="2:11" x14ac:dyDescent="0.2">
      <c r="G1" s="27" t="s">
        <v>0</v>
      </c>
      <c r="H1" s="29" t="s">
        <v>1</v>
      </c>
      <c r="I1" s="29" t="s">
        <v>2</v>
      </c>
      <c r="J1" s="29" t="s">
        <v>3</v>
      </c>
      <c r="K1" s="29" t="s">
        <v>12</v>
      </c>
    </row>
    <row r="2" spans="2:11" ht="14.5" customHeight="1" x14ac:dyDescent="0.2">
      <c r="B2" s="8" t="s">
        <v>4</v>
      </c>
      <c r="C2" s="9" t="s">
        <v>5</v>
      </c>
      <c r="D2" s="9" t="s">
        <v>6</v>
      </c>
      <c r="E2" s="9" t="s">
        <v>7</v>
      </c>
      <c r="F2" s="9" t="s">
        <v>8</v>
      </c>
      <c r="G2" s="34" t="s">
        <v>13</v>
      </c>
      <c r="H2" s="34" t="s">
        <v>9</v>
      </c>
      <c r="I2" s="9" t="s">
        <v>10</v>
      </c>
      <c r="J2" s="9" t="s">
        <v>11</v>
      </c>
      <c r="K2" s="33" t="s">
        <v>14</v>
      </c>
    </row>
    <row r="3" spans="2:11" x14ac:dyDescent="0.2">
      <c r="B3" s="11">
        <v>18</v>
      </c>
      <c r="C3" s="7">
        <v>7</v>
      </c>
      <c r="D3" s="6">
        <f>C3*24</f>
        <v>168</v>
      </c>
      <c r="E3" s="12">
        <v>0.41099999999999998</v>
      </c>
      <c r="F3" s="12">
        <v>2.483473016</v>
      </c>
      <c r="G3" s="12">
        <f t="shared" ref="G3:G34" si="0">E3*1000/B3</f>
        <v>22.833333333333332</v>
      </c>
      <c r="H3" s="12">
        <f t="shared" ref="H3:H34" si="1">G3/D3</f>
        <v>0.1359126984126984</v>
      </c>
      <c r="I3" s="12">
        <f t="shared" ref="I3:I34" si="2">(20-F3)/D3</f>
        <v>0.10426504157142856</v>
      </c>
      <c r="J3" s="12">
        <f>(G3)/(20-F3)</f>
        <v>1.3035308514176256</v>
      </c>
      <c r="K3" s="30">
        <f>(20-F3)/20</f>
        <v>0.87582634919999991</v>
      </c>
    </row>
    <row r="4" spans="2:11" x14ac:dyDescent="0.2">
      <c r="B4" s="11">
        <v>18</v>
      </c>
      <c r="C4" s="7">
        <v>8</v>
      </c>
      <c r="D4" s="7">
        <f t="shared" ref="D4:D51" si="3">C4*24</f>
        <v>192</v>
      </c>
      <c r="E4" s="12">
        <v>0.52610000000000001</v>
      </c>
      <c r="F4" s="12">
        <v>0.56667301599999997</v>
      </c>
      <c r="G4" s="12">
        <f t="shared" si="0"/>
        <v>29.227777777777778</v>
      </c>
      <c r="H4" s="12">
        <f>G4/D4</f>
        <v>0.15222800925925925</v>
      </c>
      <c r="I4" s="12">
        <f t="shared" si="2"/>
        <v>0.10121524470833333</v>
      </c>
      <c r="J4" s="12">
        <f t="shared" ref="J4:J51" si="4">G4/(20-F4)</f>
        <v>1.5040027784147214</v>
      </c>
      <c r="K4" s="30">
        <f t="shared" ref="K4:K34" si="5">(20-F4)/20</f>
        <v>0.97166634920000006</v>
      </c>
    </row>
    <row r="5" spans="2:11" x14ac:dyDescent="0.2">
      <c r="B5" s="11">
        <v>18</v>
      </c>
      <c r="C5" s="7">
        <v>9</v>
      </c>
      <c r="D5" s="7">
        <f t="shared" si="3"/>
        <v>216</v>
      </c>
      <c r="E5" s="12">
        <v>0.53910000000000002</v>
      </c>
      <c r="F5" s="12">
        <v>0.72640634900000001</v>
      </c>
      <c r="G5" s="12">
        <f t="shared" si="0"/>
        <v>29.950000000000003</v>
      </c>
      <c r="H5" s="12">
        <f t="shared" si="1"/>
        <v>0.13865740740740742</v>
      </c>
      <c r="I5" s="12">
        <f>(20-F5)/D5</f>
        <v>8.9229600236111109E-2</v>
      </c>
      <c r="J5" s="12">
        <f>G5/(20-F5)</f>
        <v>1.5539395788001407</v>
      </c>
      <c r="K5" s="30">
        <f t="shared" si="5"/>
        <v>0.96367968254999992</v>
      </c>
    </row>
    <row r="6" spans="2:11" x14ac:dyDescent="0.2">
      <c r="B6" s="11">
        <v>18</v>
      </c>
      <c r="C6" s="7">
        <v>10</v>
      </c>
      <c r="D6" s="7">
        <f t="shared" si="3"/>
        <v>240</v>
      </c>
      <c r="E6" s="12">
        <v>0.45669999999999999</v>
      </c>
      <c r="F6" s="12">
        <v>0.57618095199999997</v>
      </c>
      <c r="G6" s="12">
        <f>E6*1000/B6</f>
        <v>25.37222222222222</v>
      </c>
      <c r="H6" s="12">
        <f>G6/D6</f>
        <v>0.10571759259259259</v>
      </c>
      <c r="I6" s="12">
        <f t="shared" si="2"/>
        <v>8.093257936666666E-2</v>
      </c>
      <c r="J6" s="12">
        <f>G6/(20-F6)</f>
        <v>1.3062427198030713</v>
      </c>
      <c r="K6" s="30">
        <f t="shared" si="5"/>
        <v>0.97119095239999997</v>
      </c>
    </row>
    <row r="7" spans="2:11" x14ac:dyDescent="0.2">
      <c r="B7" s="11">
        <v>18</v>
      </c>
      <c r="C7" s="7">
        <v>11</v>
      </c>
      <c r="D7" s="7">
        <f t="shared" si="3"/>
        <v>264</v>
      </c>
      <c r="E7" s="12">
        <v>0.41949999999999998</v>
      </c>
      <c r="F7" s="12">
        <v>0.59709841299999999</v>
      </c>
      <c r="G7" s="12">
        <f t="shared" si="0"/>
        <v>23.305555555555557</v>
      </c>
      <c r="H7" s="12">
        <f>G7/D7</f>
        <v>8.827861952861954E-2</v>
      </c>
      <c r="I7" s="12">
        <f t="shared" si="2"/>
        <v>7.3495839344696959E-2</v>
      </c>
      <c r="J7" s="12">
        <f t="shared" si="4"/>
        <v>1.2011376469161885</v>
      </c>
      <c r="K7" s="30">
        <f t="shared" si="5"/>
        <v>0.97014507934999994</v>
      </c>
    </row>
    <row r="8" spans="2:11" x14ac:dyDescent="0.2">
      <c r="B8" s="11">
        <v>18</v>
      </c>
      <c r="C8" s="7">
        <v>13</v>
      </c>
      <c r="D8" s="7">
        <f t="shared" si="3"/>
        <v>312</v>
      </c>
      <c r="E8" s="12">
        <v>0.37440000000000001</v>
      </c>
      <c r="F8" s="12">
        <v>0.58949206300000001</v>
      </c>
      <c r="G8" s="12">
        <f t="shared" si="0"/>
        <v>20.8</v>
      </c>
      <c r="H8" s="12">
        <f t="shared" si="1"/>
        <v>6.6666666666666666E-2</v>
      </c>
      <c r="I8" s="12">
        <f t="shared" si="2"/>
        <v>6.2213166464743584E-2</v>
      </c>
      <c r="J8" s="12">
        <f t="shared" si="4"/>
        <v>1.071584528725875</v>
      </c>
      <c r="K8" s="30">
        <f t="shared" si="5"/>
        <v>0.97052539684999994</v>
      </c>
    </row>
    <row r="9" spans="2:11" x14ac:dyDescent="0.2">
      <c r="B9" s="14">
        <v>18</v>
      </c>
      <c r="C9" s="2">
        <v>14</v>
      </c>
      <c r="D9" s="2">
        <f t="shared" si="3"/>
        <v>336</v>
      </c>
      <c r="E9" s="3">
        <v>0.25879999999999997</v>
      </c>
      <c r="F9" s="3">
        <v>0.59044285699999999</v>
      </c>
      <c r="G9" s="3">
        <f t="shared" si="0"/>
        <v>14.377777777777775</v>
      </c>
      <c r="H9" s="3">
        <f t="shared" si="1"/>
        <v>4.2791005291005282E-2</v>
      </c>
      <c r="I9" s="3">
        <f t="shared" si="2"/>
        <v>5.7766539116071429E-2</v>
      </c>
      <c r="J9" s="3">
        <f t="shared" si="4"/>
        <v>0.74075764180756065</v>
      </c>
      <c r="K9" s="31">
        <f t="shared" si="5"/>
        <v>0.97047785715000001</v>
      </c>
    </row>
    <row r="10" spans="2:11" x14ac:dyDescent="0.2">
      <c r="B10" s="11">
        <v>36</v>
      </c>
      <c r="C10" s="7">
        <v>7</v>
      </c>
      <c r="D10" s="6">
        <f>C10*24</f>
        <v>168</v>
      </c>
      <c r="E10" s="12">
        <v>0.78259999999999996</v>
      </c>
      <c r="F10" s="12">
        <v>2.7059587299999999</v>
      </c>
      <c r="G10" s="12">
        <f t="shared" si="0"/>
        <v>21.738888888888887</v>
      </c>
      <c r="H10" s="12">
        <f t="shared" si="1"/>
        <v>0.12939814814814815</v>
      </c>
      <c r="I10" s="12">
        <f t="shared" si="2"/>
        <v>0.1029407218452381</v>
      </c>
      <c r="J10" s="12">
        <f t="shared" si="4"/>
        <v>1.2570161334470371</v>
      </c>
      <c r="K10" s="30">
        <f t="shared" si="5"/>
        <v>0.86470206350000001</v>
      </c>
    </row>
    <row r="11" spans="2:11" x14ac:dyDescent="0.2">
      <c r="B11" s="11">
        <v>36</v>
      </c>
      <c r="C11" s="7">
        <v>8</v>
      </c>
      <c r="D11" s="7">
        <f t="shared" si="3"/>
        <v>192</v>
      </c>
      <c r="E11" s="12">
        <v>0.85270000000000001</v>
      </c>
      <c r="F11" s="12">
        <v>1.327307937</v>
      </c>
      <c r="G11" s="12">
        <f t="shared" si="0"/>
        <v>23.686111111111114</v>
      </c>
      <c r="H11" s="12">
        <f t="shared" si="1"/>
        <v>0.12336516203703705</v>
      </c>
      <c r="I11" s="12">
        <f t="shared" si="2"/>
        <v>9.7253604494791659E-2</v>
      </c>
      <c r="J11" s="12">
        <f t="shared" si="4"/>
        <v>1.2684893550001406</v>
      </c>
      <c r="K11" s="30">
        <f t="shared" si="5"/>
        <v>0.93363460315000002</v>
      </c>
    </row>
    <row r="12" spans="2:11" x14ac:dyDescent="0.2">
      <c r="B12" s="11">
        <v>36</v>
      </c>
      <c r="C12" s="7">
        <v>9</v>
      </c>
      <c r="D12" s="7">
        <f t="shared" si="3"/>
        <v>216</v>
      </c>
      <c r="E12" s="12">
        <v>0.88549999999999995</v>
      </c>
      <c r="F12" s="12">
        <v>0.67316190499999995</v>
      </c>
      <c r="G12" s="12">
        <f t="shared" si="0"/>
        <v>24.597222222222221</v>
      </c>
      <c r="H12" s="12">
        <f t="shared" si="1"/>
        <v>0.11387602880658436</v>
      </c>
      <c r="I12" s="12">
        <f t="shared" si="2"/>
        <v>8.9476102291666665E-2</v>
      </c>
      <c r="J12" s="12">
        <f t="shared" si="4"/>
        <v>1.2726976912268806</v>
      </c>
      <c r="K12" s="30">
        <f t="shared" si="5"/>
        <v>0.96634190474999992</v>
      </c>
    </row>
    <row r="13" spans="2:11" x14ac:dyDescent="0.2">
      <c r="B13" s="11">
        <v>36</v>
      </c>
      <c r="C13" s="7">
        <v>10</v>
      </c>
      <c r="D13" s="7">
        <f t="shared" si="3"/>
        <v>240</v>
      </c>
      <c r="E13" s="12">
        <v>0.75609999999999999</v>
      </c>
      <c r="F13" s="12">
        <v>0.56096825400000006</v>
      </c>
      <c r="G13" s="12">
        <f t="shared" si="0"/>
        <v>21.00277777777778</v>
      </c>
      <c r="H13" s="12">
        <f t="shared" si="1"/>
        <v>8.7511574074074089E-2</v>
      </c>
      <c r="I13" s="12">
        <f t="shared" si="2"/>
        <v>8.0995965608333345E-2</v>
      </c>
      <c r="J13" s="12">
        <f t="shared" si="4"/>
        <v>1.0804436173679048</v>
      </c>
      <c r="K13" s="30">
        <f t="shared" si="5"/>
        <v>0.97195158730000009</v>
      </c>
    </row>
    <row r="14" spans="2:11" x14ac:dyDescent="0.2">
      <c r="B14" s="11">
        <v>36</v>
      </c>
      <c r="C14" s="7">
        <v>11</v>
      </c>
      <c r="D14" s="7">
        <f t="shared" si="3"/>
        <v>264</v>
      </c>
      <c r="E14" s="12">
        <v>0.73699999999999999</v>
      </c>
      <c r="F14" s="12">
        <v>0.57808254000000003</v>
      </c>
      <c r="G14" s="12">
        <f t="shared" si="0"/>
        <v>20.472222222222221</v>
      </c>
      <c r="H14" s="12">
        <f t="shared" si="1"/>
        <v>7.7546296296296294E-2</v>
      </c>
      <c r="I14" s="12">
        <f t="shared" si="2"/>
        <v>7.3567869166666661E-2</v>
      </c>
      <c r="J14" s="12">
        <f t="shared" si="4"/>
        <v>1.0540783248814312</v>
      </c>
      <c r="K14" s="30">
        <f t="shared" si="5"/>
        <v>0.971095873</v>
      </c>
    </row>
    <row r="15" spans="2:11" x14ac:dyDescent="0.2">
      <c r="B15" s="11">
        <v>36</v>
      </c>
      <c r="C15" s="7">
        <v>13</v>
      </c>
      <c r="D15" s="7">
        <f t="shared" si="3"/>
        <v>312</v>
      </c>
      <c r="E15" s="12">
        <v>0.63180000000000003</v>
      </c>
      <c r="F15" s="12">
        <v>0.58949206300000001</v>
      </c>
      <c r="G15" s="12">
        <f t="shared" si="0"/>
        <v>17.55</v>
      </c>
      <c r="H15" s="12">
        <f t="shared" si="1"/>
        <v>5.6250000000000001E-2</v>
      </c>
      <c r="I15" s="12">
        <f t="shared" si="2"/>
        <v>6.2213166464743584E-2</v>
      </c>
      <c r="J15" s="12">
        <f t="shared" si="4"/>
        <v>0.90414944611245707</v>
      </c>
      <c r="K15" s="30">
        <f t="shared" si="5"/>
        <v>0.97052539684999994</v>
      </c>
    </row>
    <row r="16" spans="2:11" x14ac:dyDescent="0.2">
      <c r="B16" s="14">
        <v>36</v>
      </c>
      <c r="C16" s="2">
        <v>14</v>
      </c>
      <c r="D16" s="2">
        <f t="shared" si="3"/>
        <v>336</v>
      </c>
      <c r="E16" s="3">
        <v>0.52859999999999996</v>
      </c>
      <c r="F16" s="3">
        <v>0.59899999999999998</v>
      </c>
      <c r="G16" s="3">
        <f t="shared" si="0"/>
        <v>14.68333333333333</v>
      </c>
      <c r="H16" s="3">
        <f t="shared" si="1"/>
        <v>4.3700396825396816E-2</v>
      </c>
      <c r="I16" s="3">
        <f t="shared" si="2"/>
        <v>5.7741071428571426E-2</v>
      </c>
      <c r="J16" s="3">
        <f t="shared" si="4"/>
        <v>0.75683384018005928</v>
      </c>
      <c r="K16" s="31">
        <f t="shared" si="5"/>
        <v>0.97004999999999997</v>
      </c>
    </row>
    <row r="17" spans="2:11" x14ac:dyDescent="0.2">
      <c r="B17" s="11">
        <v>54</v>
      </c>
      <c r="C17" s="7">
        <v>7</v>
      </c>
      <c r="D17" s="6">
        <f>C17*24</f>
        <v>168</v>
      </c>
      <c r="E17" s="12">
        <v>0.71060000000000001</v>
      </c>
      <c r="F17" s="12">
        <v>4.4192888889999997</v>
      </c>
      <c r="G17" s="12">
        <f t="shared" si="0"/>
        <v>13.15925925925926</v>
      </c>
      <c r="H17" s="12">
        <f t="shared" si="1"/>
        <v>7.8328924162257493E-2</v>
      </c>
      <c r="I17" s="12">
        <f t="shared" si="2"/>
        <v>9.2742328041666669E-2</v>
      </c>
      <c r="J17" s="12">
        <f t="shared" si="4"/>
        <v>0.84458656382947817</v>
      </c>
      <c r="K17" s="30">
        <f t="shared" si="5"/>
        <v>0.77903555554999993</v>
      </c>
    </row>
    <row r="18" spans="2:11" x14ac:dyDescent="0.2">
      <c r="B18" s="11">
        <v>54</v>
      </c>
      <c r="C18" s="7">
        <v>8</v>
      </c>
      <c r="D18" s="7">
        <f t="shared" si="3"/>
        <v>192</v>
      </c>
      <c r="E18" s="12">
        <v>0.95240000000000002</v>
      </c>
      <c r="F18" s="12">
        <v>4.0865111110000001</v>
      </c>
      <c r="G18" s="12">
        <f t="shared" si="0"/>
        <v>17.637037037037036</v>
      </c>
      <c r="H18" s="12">
        <f t="shared" si="1"/>
        <v>9.1859567901234562E-2</v>
      </c>
      <c r="I18" s="12">
        <f t="shared" si="2"/>
        <v>8.2882754630208333E-2</v>
      </c>
      <c r="J18" s="12">
        <f t="shared" si="4"/>
        <v>1.1083073711905136</v>
      </c>
      <c r="K18" s="30">
        <f t="shared" si="5"/>
        <v>0.79567444445000002</v>
      </c>
    </row>
    <row r="19" spans="2:11" x14ac:dyDescent="0.2">
      <c r="B19" s="11">
        <v>54</v>
      </c>
      <c r="C19" s="7">
        <v>9</v>
      </c>
      <c r="D19" s="7">
        <f t="shared" si="3"/>
        <v>216</v>
      </c>
      <c r="E19" s="12">
        <v>1.1829000000000001</v>
      </c>
      <c r="F19" s="12">
        <v>1.840736508</v>
      </c>
      <c r="G19" s="12">
        <f t="shared" si="0"/>
        <v>21.905555555555559</v>
      </c>
      <c r="H19" s="12">
        <f t="shared" si="1"/>
        <v>0.10141460905349796</v>
      </c>
      <c r="I19" s="12">
        <f t="shared" si="2"/>
        <v>8.4070664314814816E-2</v>
      </c>
      <c r="J19" s="12">
        <f t="shared" si="4"/>
        <v>1.2063019827431862</v>
      </c>
      <c r="K19" s="30">
        <f t="shared" si="5"/>
        <v>0.90796317460000009</v>
      </c>
    </row>
    <row r="20" spans="2:11" x14ac:dyDescent="0.2">
      <c r="B20" s="11">
        <v>54</v>
      </c>
      <c r="C20" s="7">
        <v>10</v>
      </c>
      <c r="D20" s="7">
        <f t="shared" si="3"/>
        <v>240</v>
      </c>
      <c r="E20" s="12">
        <v>1.1658999999999999</v>
      </c>
      <c r="F20" s="12">
        <v>1.306390476</v>
      </c>
      <c r="G20" s="12">
        <f t="shared" si="0"/>
        <v>21.590740740740738</v>
      </c>
      <c r="H20" s="12">
        <f t="shared" si="1"/>
        <v>8.9961419753086413E-2</v>
      </c>
      <c r="I20" s="12">
        <f t="shared" si="2"/>
        <v>7.7890039683333329E-2</v>
      </c>
      <c r="J20" s="12">
        <f t="shared" si="4"/>
        <v>1.154979765305423</v>
      </c>
      <c r="K20" s="30">
        <f t="shared" si="5"/>
        <v>0.93468047619999994</v>
      </c>
    </row>
    <row r="21" spans="2:11" x14ac:dyDescent="0.2">
      <c r="B21" s="11">
        <v>54</v>
      </c>
      <c r="C21" s="7">
        <v>11</v>
      </c>
      <c r="D21" s="7">
        <f t="shared" si="3"/>
        <v>264</v>
      </c>
      <c r="E21" s="12">
        <v>0.99950000000000006</v>
      </c>
      <c r="F21" s="12">
        <v>0.63513015900000003</v>
      </c>
      <c r="G21" s="12">
        <f t="shared" si="0"/>
        <v>18.50925925925926</v>
      </c>
      <c r="H21" s="12">
        <f t="shared" si="1"/>
        <v>7.0110830527497198E-2</v>
      </c>
      <c r="I21" s="12">
        <f t="shared" si="2"/>
        <v>7.3351779700757583E-2</v>
      </c>
      <c r="J21" s="12">
        <f t="shared" si="4"/>
        <v>0.95581635256183273</v>
      </c>
      <c r="K21" s="30">
        <f t="shared" si="5"/>
        <v>0.96824349205000004</v>
      </c>
    </row>
    <row r="22" spans="2:11" x14ac:dyDescent="0.2">
      <c r="B22" s="11">
        <v>54</v>
      </c>
      <c r="C22" s="7">
        <v>13</v>
      </c>
      <c r="D22" s="7">
        <f t="shared" si="3"/>
        <v>312</v>
      </c>
      <c r="E22" s="12">
        <v>1.0925</v>
      </c>
      <c r="F22" s="12">
        <v>0.59519682500000004</v>
      </c>
      <c r="G22" s="12">
        <f t="shared" si="0"/>
        <v>20.231481481481481</v>
      </c>
      <c r="H22" s="12">
        <f t="shared" si="1"/>
        <v>6.4844491927825265E-2</v>
      </c>
      <c r="I22" s="12">
        <f t="shared" si="2"/>
        <v>6.2194881971153852E-2</v>
      </c>
      <c r="J22" s="12">
        <f t="shared" si="4"/>
        <v>1.0426017362312916</v>
      </c>
      <c r="K22" s="30">
        <f t="shared" si="5"/>
        <v>0.97024015875000003</v>
      </c>
    </row>
    <row r="23" spans="2:11" x14ac:dyDescent="0.2">
      <c r="B23" s="14">
        <v>54</v>
      </c>
      <c r="C23" s="2">
        <v>14</v>
      </c>
      <c r="D23" s="2">
        <f t="shared" si="3"/>
        <v>336</v>
      </c>
      <c r="E23" s="3">
        <v>1.0177</v>
      </c>
      <c r="F23" s="3">
        <v>0.613261905</v>
      </c>
      <c r="G23" s="3">
        <f t="shared" si="0"/>
        <v>18.846296296296298</v>
      </c>
      <c r="H23" s="3">
        <f t="shared" si="1"/>
        <v>5.6090167548500887E-2</v>
      </c>
      <c r="I23" s="3">
        <f t="shared" si="2"/>
        <v>5.7698625282738093E-2</v>
      </c>
      <c r="J23" s="3">
        <f t="shared" si="4"/>
        <v>0.97212311859502121</v>
      </c>
      <c r="K23" s="31">
        <f t="shared" si="5"/>
        <v>0.96933690474999989</v>
      </c>
    </row>
    <row r="24" spans="2:11" x14ac:dyDescent="0.2">
      <c r="B24" s="11">
        <v>72</v>
      </c>
      <c r="C24" s="7">
        <v>7</v>
      </c>
      <c r="D24" s="6">
        <f>C24*24</f>
        <v>168</v>
      </c>
      <c r="E24" s="12">
        <v>0.70079999999999998</v>
      </c>
      <c r="F24" s="12">
        <v>5.5317174600000003</v>
      </c>
      <c r="G24" s="12">
        <f t="shared" si="0"/>
        <v>9.7333333333333325</v>
      </c>
      <c r="H24" s="12">
        <f t="shared" si="1"/>
        <v>5.7936507936507932E-2</v>
      </c>
      <c r="I24" s="12">
        <f t="shared" si="2"/>
        <v>8.6120729404761912E-2</v>
      </c>
      <c r="J24" s="12">
        <f t="shared" si="4"/>
        <v>0.67273591778594977</v>
      </c>
      <c r="K24" s="30">
        <f t="shared" si="5"/>
        <v>0.72341412700000007</v>
      </c>
    </row>
    <row r="25" spans="2:11" x14ac:dyDescent="0.2">
      <c r="B25" s="11">
        <v>72</v>
      </c>
      <c r="C25" s="7">
        <v>8</v>
      </c>
      <c r="D25" s="7">
        <f t="shared" si="3"/>
        <v>192</v>
      </c>
      <c r="E25" s="12">
        <v>0.78779999999999994</v>
      </c>
      <c r="F25" s="12">
        <v>6.0147206349999998</v>
      </c>
      <c r="G25" s="12">
        <f t="shared" si="0"/>
        <v>10.941666666666666</v>
      </c>
      <c r="H25" s="12">
        <f t="shared" si="1"/>
        <v>5.6987847222222221E-2</v>
      </c>
      <c r="I25" s="12">
        <f t="shared" si="2"/>
        <v>7.2839996692708339E-2</v>
      </c>
      <c r="J25" s="12">
        <f t="shared" si="4"/>
        <v>0.78237026097952866</v>
      </c>
      <c r="K25" s="30">
        <f t="shared" si="5"/>
        <v>0.69926396825000003</v>
      </c>
    </row>
    <row r="26" spans="2:11" x14ac:dyDescent="0.2">
      <c r="B26" s="11">
        <v>72</v>
      </c>
      <c r="C26" s="7">
        <v>9</v>
      </c>
      <c r="D26" s="7">
        <f t="shared" si="3"/>
        <v>216</v>
      </c>
      <c r="E26" s="12">
        <v>1.1171</v>
      </c>
      <c r="F26" s="12">
        <v>3.590196825</v>
      </c>
      <c r="G26" s="12">
        <f t="shared" si="0"/>
        <v>15.515277777777776</v>
      </c>
      <c r="H26" s="12">
        <f t="shared" si="1"/>
        <v>7.1829989711934147E-2</v>
      </c>
      <c r="I26" s="12">
        <f t="shared" si="2"/>
        <v>7.597131099537037E-2</v>
      </c>
      <c r="J26" s="12">
        <f t="shared" si="4"/>
        <v>0.94548835304831591</v>
      </c>
      <c r="K26" s="30">
        <f t="shared" si="5"/>
        <v>0.82049015874999998</v>
      </c>
    </row>
    <row r="27" spans="2:11" x14ac:dyDescent="0.2">
      <c r="B27" s="11">
        <v>72</v>
      </c>
      <c r="C27" s="7">
        <v>10</v>
      </c>
      <c r="D27" s="7">
        <f t="shared" si="3"/>
        <v>240</v>
      </c>
      <c r="E27" s="12">
        <v>1.2358</v>
      </c>
      <c r="F27" s="12">
        <v>2.5348158729999999</v>
      </c>
      <c r="G27" s="12">
        <f t="shared" si="0"/>
        <v>17.163888888888888</v>
      </c>
      <c r="H27" s="12">
        <f t="shared" si="1"/>
        <v>7.1516203703703693E-2</v>
      </c>
      <c r="I27" s="12">
        <f t="shared" si="2"/>
        <v>7.2771600529166675E-2</v>
      </c>
      <c r="J27" s="12">
        <f t="shared" si="4"/>
        <v>0.98274880837669898</v>
      </c>
      <c r="K27" s="30">
        <f t="shared" si="5"/>
        <v>0.87325920634999998</v>
      </c>
    </row>
    <row r="28" spans="2:11" x14ac:dyDescent="0.2">
      <c r="B28" s="11">
        <v>72</v>
      </c>
      <c r="C28" s="7">
        <v>11</v>
      </c>
      <c r="D28" s="7">
        <f t="shared" si="3"/>
        <v>264</v>
      </c>
      <c r="E28" s="12">
        <v>1.0915999999999999</v>
      </c>
      <c r="F28" s="12">
        <v>2.6831396829999998</v>
      </c>
      <c r="G28" s="12">
        <f t="shared" si="0"/>
        <v>15.16111111111111</v>
      </c>
      <c r="H28" s="12">
        <f t="shared" si="1"/>
        <v>5.7428451178451176E-2</v>
      </c>
      <c r="I28" s="12">
        <f t="shared" si="2"/>
        <v>6.5594167867424238E-2</v>
      </c>
      <c r="J28" s="12">
        <f t="shared" si="4"/>
        <v>0.87551154386961327</v>
      </c>
      <c r="K28" s="30">
        <f t="shared" si="5"/>
        <v>0.86584301585000001</v>
      </c>
    </row>
    <row r="29" spans="2:11" x14ac:dyDescent="0.2">
      <c r="B29" s="11">
        <v>72</v>
      </c>
      <c r="C29" s="7">
        <v>13</v>
      </c>
      <c r="D29" s="7">
        <f t="shared" si="3"/>
        <v>312</v>
      </c>
      <c r="E29" s="12">
        <v>1.2942</v>
      </c>
      <c r="F29" s="12">
        <v>0.67696507900000003</v>
      </c>
      <c r="G29" s="12">
        <f t="shared" si="0"/>
        <v>17.975000000000001</v>
      </c>
      <c r="H29" s="12">
        <f t="shared" si="1"/>
        <v>5.7612179487179491E-2</v>
      </c>
      <c r="I29" s="12">
        <f t="shared" si="2"/>
        <v>6.1932804233974362E-2</v>
      </c>
      <c r="J29" s="12">
        <f t="shared" si="4"/>
        <v>0.93023689464355441</v>
      </c>
      <c r="K29" s="30">
        <f t="shared" si="5"/>
        <v>0.96615174605000009</v>
      </c>
    </row>
    <row r="30" spans="2:11" x14ac:dyDescent="0.2">
      <c r="B30" s="14">
        <v>72</v>
      </c>
      <c r="C30" s="2">
        <v>14</v>
      </c>
      <c r="D30" s="2">
        <f t="shared" si="3"/>
        <v>336</v>
      </c>
      <c r="E30" s="3">
        <v>1.3512</v>
      </c>
      <c r="F30" s="3">
        <v>0.58759047600000003</v>
      </c>
      <c r="G30" s="3">
        <f t="shared" si="0"/>
        <v>18.766666666666666</v>
      </c>
      <c r="H30" s="3">
        <f t="shared" si="1"/>
        <v>5.5853174603174599E-2</v>
      </c>
      <c r="I30" s="3">
        <f t="shared" si="2"/>
        <v>5.7775028345238101E-2</v>
      </c>
      <c r="J30" s="3">
        <f t="shared" si="4"/>
        <v>0.96673556383946113</v>
      </c>
      <c r="K30" s="31">
        <f t="shared" si="5"/>
        <v>0.97062047620000003</v>
      </c>
    </row>
    <row r="31" spans="2:11" x14ac:dyDescent="0.2">
      <c r="B31" s="11">
        <v>90</v>
      </c>
      <c r="C31" s="7">
        <v>7</v>
      </c>
      <c r="D31" s="6">
        <f>C31*24</f>
        <v>168</v>
      </c>
      <c r="E31" s="12">
        <v>0.6704</v>
      </c>
      <c r="F31" s="12">
        <v>7.4161904759999997</v>
      </c>
      <c r="G31" s="12">
        <f t="shared" si="0"/>
        <v>7.4488888888888889</v>
      </c>
      <c r="H31" s="12">
        <f t="shared" si="1"/>
        <v>4.4338624338624337E-2</v>
      </c>
      <c r="I31" s="12">
        <f t="shared" si="2"/>
        <v>7.4903628119047619E-2</v>
      </c>
      <c r="J31" s="12">
        <f t="shared" si="4"/>
        <v>0.59194227905963415</v>
      </c>
      <c r="K31" s="30">
        <f t="shared" si="5"/>
        <v>0.62919047620000002</v>
      </c>
    </row>
    <row r="32" spans="2:11" x14ac:dyDescent="0.2">
      <c r="B32" s="11">
        <v>90</v>
      </c>
      <c r="C32" s="7">
        <v>8</v>
      </c>
      <c r="D32" s="7">
        <f t="shared" si="3"/>
        <v>192</v>
      </c>
      <c r="E32" s="12">
        <v>0.76190000000000002</v>
      </c>
      <c r="F32" s="12">
        <v>5.8587904760000002</v>
      </c>
      <c r="G32" s="12">
        <f t="shared" si="0"/>
        <v>8.4655555555555555</v>
      </c>
      <c r="H32" s="12">
        <f t="shared" si="1"/>
        <v>4.4091435185185185E-2</v>
      </c>
      <c r="I32" s="12">
        <f t="shared" si="2"/>
        <v>7.3652132937500003E-2</v>
      </c>
      <c r="J32" s="12">
        <f t="shared" si="4"/>
        <v>0.59864437629525891</v>
      </c>
      <c r="K32" s="30">
        <f t="shared" si="5"/>
        <v>0.70706047620000001</v>
      </c>
    </row>
    <row r="33" spans="2:11" x14ac:dyDescent="0.2">
      <c r="B33" s="11">
        <v>90</v>
      </c>
      <c r="C33" s="7">
        <v>9</v>
      </c>
      <c r="D33" s="7">
        <f t="shared" si="3"/>
        <v>216</v>
      </c>
      <c r="E33" s="12">
        <v>0.88370000000000004</v>
      </c>
      <c r="F33" s="12">
        <v>6.1117015869999998</v>
      </c>
      <c r="G33" s="12">
        <f t="shared" si="0"/>
        <v>9.818888888888889</v>
      </c>
      <c r="H33" s="12">
        <f t="shared" si="1"/>
        <v>4.5457818930041152E-2</v>
      </c>
      <c r="I33" s="12">
        <f t="shared" si="2"/>
        <v>6.4297677837962974E-2</v>
      </c>
      <c r="J33" s="12">
        <f t="shared" si="4"/>
        <v>0.70699005716193553</v>
      </c>
      <c r="K33" s="30">
        <f t="shared" si="5"/>
        <v>0.6944149206500001</v>
      </c>
    </row>
    <row r="34" spans="2:11" x14ac:dyDescent="0.2">
      <c r="B34" s="11">
        <v>90</v>
      </c>
      <c r="C34" s="7">
        <v>10</v>
      </c>
      <c r="D34" s="7">
        <f t="shared" si="3"/>
        <v>240</v>
      </c>
      <c r="E34" s="12">
        <v>1.2813000000000001</v>
      </c>
      <c r="F34" s="12">
        <v>3.9933333329999998</v>
      </c>
      <c r="G34" s="12">
        <f t="shared" si="0"/>
        <v>14.236666666666668</v>
      </c>
      <c r="H34" s="12">
        <f t="shared" si="1"/>
        <v>5.9319444444444452E-2</v>
      </c>
      <c r="I34" s="12">
        <f t="shared" si="2"/>
        <v>6.6694444445833334E-2</v>
      </c>
      <c r="J34" s="12">
        <f t="shared" si="4"/>
        <v>0.88942107453374808</v>
      </c>
      <c r="K34" s="30">
        <f t="shared" si="5"/>
        <v>0.80033333335000001</v>
      </c>
    </row>
    <row r="35" spans="2:11" x14ac:dyDescent="0.2">
      <c r="B35" s="11">
        <v>90</v>
      </c>
      <c r="C35" s="7">
        <v>11</v>
      </c>
      <c r="D35" s="7">
        <f t="shared" si="3"/>
        <v>264</v>
      </c>
      <c r="E35" s="12">
        <v>1.3362000000000001</v>
      </c>
      <c r="F35" s="12">
        <v>3.8583206350000001</v>
      </c>
      <c r="G35" s="12">
        <f t="shared" ref="G35:G51" si="6">E35*1000/B35</f>
        <v>14.846666666666668</v>
      </c>
      <c r="H35" s="12">
        <f t="shared" ref="H35:H51" si="7">G35/D35</f>
        <v>5.6237373737373739E-2</v>
      </c>
      <c r="I35" s="12">
        <f t="shared" ref="I35:I51" si="8">(20-F35)/D35</f>
        <v>6.1142724867424246E-2</v>
      </c>
      <c r="J35" s="12">
        <f t="shared" si="4"/>
        <v>0.91977212103832828</v>
      </c>
      <c r="K35" s="30">
        <f t="shared" ref="K35:K51" si="9">(20-F35)/20</f>
        <v>0.80708396825000006</v>
      </c>
    </row>
    <row r="36" spans="2:11" x14ac:dyDescent="0.2">
      <c r="B36" s="11">
        <v>90</v>
      </c>
      <c r="C36" s="7">
        <v>13</v>
      </c>
      <c r="D36" s="7">
        <f t="shared" si="3"/>
        <v>312</v>
      </c>
      <c r="E36" s="12">
        <v>1.409</v>
      </c>
      <c r="F36" s="12">
        <v>1.7893936509999999</v>
      </c>
      <c r="G36" s="12">
        <f t="shared" si="6"/>
        <v>15.655555555555555</v>
      </c>
      <c r="H36" s="12">
        <f t="shared" si="7"/>
        <v>5.0178062678062678E-2</v>
      </c>
      <c r="I36" s="12">
        <f t="shared" si="8"/>
        <v>5.8367328041666666E-2</v>
      </c>
      <c r="J36" s="12">
        <f t="shared" si="4"/>
        <v>0.8596943591839955</v>
      </c>
      <c r="K36" s="30">
        <f t="shared" si="9"/>
        <v>0.9105303174499999</v>
      </c>
    </row>
    <row r="37" spans="2:11" x14ac:dyDescent="0.2">
      <c r="B37" s="14">
        <v>90</v>
      </c>
      <c r="C37" s="2">
        <v>14</v>
      </c>
      <c r="D37" s="2">
        <f t="shared" si="3"/>
        <v>336</v>
      </c>
      <c r="E37" s="3">
        <v>1.5801000000000001</v>
      </c>
      <c r="F37" s="3">
        <v>0.99833333300000004</v>
      </c>
      <c r="G37" s="3">
        <f t="shared" si="6"/>
        <v>17.556666666666668</v>
      </c>
      <c r="H37" s="3">
        <f t="shared" si="7"/>
        <v>5.2251984126984133E-2</v>
      </c>
      <c r="I37" s="3">
        <f t="shared" si="8"/>
        <v>5.6552579366071422E-2</v>
      </c>
      <c r="J37" s="3">
        <f t="shared" si="4"/>
        <v>0.92395403910316731</v>
      </c>
      <c r="K37" s="31">
        <f t="shared" si="9"/>
        <v>0.95008333334999995</v>
      </c>
    </row>
    <row r="38" spans="2:11" x14ac:dyDescent="0.2">
      <c r="B38" s="11">
        <v>108</v>
      </c>
      <c r="C38" s="7">
        <v>7</v>
      </c>
      <c r="D38" s="6">
        <f>C38*24</f>
        <v>168</v>
      </c>
      <c r="E38" s="12">
        <v>0.58430000000000004</v>
      </c>
      <c r="F38" s="12">
        <v>6.385530159</v>
      </c>
      <c r="G38" s="12">
        <f t="shared" si="6"/>
        <v>5.4101851851851857</v>
      </c>
      <c r="H38" s="12">
        <f t="shared" si="7"/>
        <v>3.2203483245149912E-2</v>
      </c>
      <c r="I38" s="12">
        <f t="shared" si="8"/>
        <v>8.1038510958333337E-2</v>
      </c>
      <c r="J38" s="12">
        <f t="shared" si="4"/>
        <v>0.39738493296980271</v>
      </c>
      <c r="K38" s="30">
        <f t="shared" si="9"/>
        <v>0.68072349205000005</v>
      </c>
    </row>
    <row r="39" spans="2:11" x14ac:dyDescent="0.2">
      <c r="B39" s="11">
        <v>108</v>
      </c>
      <c r="C39" s="7">
        <v>8</v>
      </c>
      <c r="D39" s="7">
        <f t="shared" si="3"/>
        <v>192</v>
      </c>
      <c r="E39" s="12">
        <v>0.70240000000000002</v>
      </c>
      <c r="F39" s="12">
        <v>6.2029777780000002</v>
      </c>
      <c r="G39" s="12">
        <f t="shared" si="6"/>
        <v>6.5037037037037031</v>
      </c>
      <c r="H39" s="12">
        <f t="shared" si="7"/>
        <v>3.3873456790123456E-2</v>
      </c>
      <c r="I39" s="12">
        <f t="shared" si="8"/>
        <v>7.1859490739583323E-2</v>
      </c>
      <c r="J39" s="12">
        <f t="shared" si="4"/>
        <v>0.47138459292565627</v>
      </c>
      <c r="K39" s="30">
        <f t="shared" si="9"/>
        <v>0.68985111109999997</v>
      </c>
    </row>
    <row r="40" spans="2:11" x14ac:dyDescent="0.2">
      <c r="B40" s="11">
        <v>108</v>
      </c>
      <c r="C40" s="7">
        <v>9</v>
      </c>
      <c r="D40" s="7">
        <f t="shared" si="3"/>
        <v>216</v>
      </c>
      <c r="E40" s="12">
        <v>1.0331999999999999</v>
      </c>
      <c r="F40" s="12">
        <v>5.5621428570000004</v>
      </c>
      <c r="G40" s="12">
        <f t="shared" si="6"/>
        <v>9.5666666666666647</v>
      </c>
      <c r="H40" s="12">
        <f t="shared" si="7"/>
        <v>4.4290123456790113E-2</v>
      </c>
      <c r="I40" s="12">
        <f t="shared" si="8"/>
        <v>6.684193121759259E-2</v>
      </c>
      <c r="J40" s="12">
        <f t="shared" si="4"/>
        <v>0.66260987152826445</v>
      </c>
      <c r="K40" s="30">
        <f t="shared" si="9"/>
        <v>0.72189285714999996</v>
      </c>
    </row>
    <row r="41" spans="2:11" x14ac:dyDescent="0.2">
      <c r="B41" s="11">
        <v>108</v>
      </c>
      <c r="C41" s="7">
        <v>10</v>
      </c>
      <c r="D41" s="7">
        <f t="shared" si="3"/>
        <v>240</v>
      </c>
      <c r="E41" s="12">
        <v>1.4886999999999999</v>
      </c>
      <c r="F41" s="12">
        <v>4.2424412699999996</v>
      </c>
      <c r="G41" s="12">
        <f t="shared" si="6"/>
        <v>13.784259259259258</v>
      </c>
      <c r="H41" s="12">
        <f t="shared" si="7"/>
        <v>5.743441358024691E-2</v>
      </c>
      <c r="I41" s="12">
        <f t="shared" si="8"/>
        <v>6.5656494708333332E-2</v>
      </c>
      <c r="J41" s="12">
        <f t="shared" si="4"/>
        <v>0.8747712444197413</v>
      </c>
      <c r="K41" s="30">
        <f t="shared" si="9"/>
        <v>0.78787793649999993</v>
      </c>
    </row>
    <row r="42" spans="2:11" x14ac:dyDescent="0.2">
      <c r="B42" s="11">
        <v>108</v>
      </c>
      <c r="C42" s="7">
        <v>11</v>
      </c>
      <c r="D42" s="7">
        <f t="shared" si="3"/>
        <v>264</v>
      </c>
      <c r="E42" s="12">
        <v>1.2087000000000001</v>
      </c>
      <c r="F42" s="12">
        <v>4.4078793650000003</v>
      </c>
      <c r="G42" s="12">
        <f t="shared" si="6"/>
        <v>11.191666666666666</v>
      </c>
      <c r="H42" s="12">
        <f t="shared" si="7"/>
        <v>4.2392676767676767E-2</v>
      </c>
      <c r="I42" s="12">
        <f t="shared" si="8"/>
        <v>5.9061063011363636E-2</v>
      </c>
      <c r="J42" s="12">
        <f t="shared" si="4"/>
        <v>0.71777707014044445</v>
      </c>
      <c r="K42" s="30">
        <f t="shared" si="9"/>
        <v>0.77960603174999998</v>
      </c>
    </row>
    <row r="43" spans="2:11" x14ac:dyDescent="0.2">
      <c r="B43" s="11">
        <v>108</v>
      </c>
      <c r="C43" s="7">
        <v>13</v>
      </c>
      <c r="D43" s="7">
        <f t="shared" si="3"/>
        <v>312</v>
      </c>
      <c r="E43" s="12">
        <v>1.5710999999999999</v>
      </c>
      <c r="F43" s="12">
        <v>2.7325809520000002</v>
      </c>
      <c r="G43" s="12">
        <f t="shared" si="6"/>
        <v>14.547222222222221</v>
      </c>
      <c r="H43" s="12">
        <f t="shared" si="7"/>
        <v>4.6625712250712249E-2</v>
      </c>
      <c r="I43" s="12">
        <f t="shared" si="8"/>
        <v>5.5344291820512821E-2</v>
      </c>
      <c r="J43" s="12">
        <f t="shared" si="4"/>
        <v>0.84246650769196185</v>
      </c>
      <c r="K43" s="30">
        <f t="shared" si="9"/>
        <v>0.86337095240000006</v>
      </c>
    </row>
    <row r="44" spans="2:11" x14ac:dyDescent="0.2">
      <c r="B44" s="14">
        <v>108</v>
      </c>
      <c r="C44" s="2">
        <v>14</v>
      </c>
      <c r="D44" s="2">
        <f t="shared" si="3"/>
        <v>336</v>
      </c>
      <c r="E44" s="3">
        <v>1.5668</v>
      </c>
      <c r="F44" s="3">
        <v>1.7855904760000001</v>
      </c>
      <c r="G44" s="3">
        <f t="shared" si="6"/>
        <v>14.507407407407406</v>
      </c>
      <c r="H44" s="3">
        <f t="shared" si="7"/>
        <v>4.3176807760141087E-2</v>
      </c>
      <c r="I44" s="3">
        <f t="shared" si="8"/>
        <v>5.4209552154761906E-2</v>
      </c>
      <c r="J44" s="3">
        <f t="shared" si="4"/>
        <v>0.79647969857556422</v>
      </c>
      <c r="K44" s="31">
        <f t="shared" si="9"/>
        <v>0.91072047620000007</v>
      </c>
    </row>
    <row r="45" spans="2:11" x14ac:dyDescent="0.2">
      <c r="B45" s="11">
        <v>126</v>
      </c>
      <c r="C45" s="7">
        <v>7</v>
      </c>
      <c r="D45" s="6">
        <f>C45*24</f>
        <v>168</v>
      </c>
      <c r="E45" s="12">
        <v>0.28939999999999999</v>
      </c>
      <c r="F45" s="12">
        <v>8.9526730160000003</v>
      </c>
      <c r="G45" s="12">
        <f t="shared" si="6"/>
        <v>2.2968253968253967</v>
      </c>
      <c r="H45" s="12">
        <f t="shared" si="7"/>
        <v>1.3671579743008314E-2</v>
      </c>
      <c r="I45" s="12">
        <f t="shared" si="8"/>
        <v>6.5757898714285709E-2</v>
      </c>
      <c r="J45" s="12">
        <f t="shared" si="4"/>
        <v>0.20790779526594275</v>
      </c>
      <c r="K45" s="30">
        <f t="shared" si="9"/>
        <v>0.55236634919999994</v>
      </c>
    </row>
    <row r="46" spans="2:11" x14ac:dyDescent="0.2">
      <c r="B46" s="11">
        <v>126</v>
      </c>
      <c r="C46" s="7">
        <v>8</v>
      </c>
      <c r="D46" s="7">
        <f t="shared" si="3"/>
        <v>192</v>
      </c>
      <c r="E46" s="12">
        <v>0.41</v>
      </c>
      <c r="F46" s="12">
        <v>6.0698666670000003</v>
      </c>
      <c r="G46" s="12">
        <f t="shared" si="6"/>
        <v>3.253968253968254</v>
      </c>
      <c r="H46" s="12">
        <f t="shared" si="7"/>
        <v>1.6947751322751323E-2</v>
      </c>
      <c r="I46" s="12">
        <f t="shared" si="8"/>
        <v>7.2552777776041674E-2</v>
      </c>
      <c r="J46" s="12">
        <f t="shared" si="4"/>
        <v>0.23359203937120376</v>
      </c>
      <c r="K46" s="30">
        <f t="shared" si="9"/>
        <v>0.69650666665000005</v>
      </c>
    </row>
    <row r="47" spans="2:11" x14ac:dyDescent="0.2">
      <c r="B47" s="11">
        <v>126</v>
      </c>
      <c r="C47" s="7">
        <v>9</v>
      </c>
      <c r="D47" s="7">
        <f t="shared" si="3"/>
        <v>216</v>
      </c>
      <c r="E47" s="12">
        <v>0.88300000000000001</v>
      </c>
      <c r="F47" s="12">
        <v>5.7808253970000001</v>
      </c>
      <c r="G47" s="12">
        <f t="shared" si="6"/>
        <v>7.0079365079365079</v>
      </c>
      <c r="H47" s="12">
        <f t="shared" si="7"/>
        <v>3.2444150499706052E-2</v>
      </c>
      <c r="I47" s="12">
        <f t="shared" si="8"/>
        <v>6.5829512050925923E-2</v>
      </c>
      <c r="J47" s="12">
        <f t="shared" si="4"/>
        <v>0.4928511466803393</v>
      </c>
      <c r="K47" s="30">
        <f t="shared" si="9"/>
        <v>0.71095873015</v>
      </c>
    </row>
    <row r="48" spans="2:11" x14ac:dyDescent="0.2">
      <c r="B48" s="11">
        <v>126</v>
      </c>
      <c r="C48" s="7">
        <v>10</v>
      </c>
      <c r="D48" s="7">
        <f t="shared" si="3"/>
        <v>240</v>
      </c>
      <c r="E48" s="12">
        <v>1.2733000000000001</v>
      </c>
      <c r="F48" s="12">
        <v>5.7713174599999997</v>
      </c>
      <c r="G48" s="12">
        <f t="shared" si="6"/>
        <v>10.105555555555558</v>
      </c>
      <c r="H48" s="12">
        <f t="shared" si="7"/>
        <v>4.2106481481481488E-2</v>
      </c>
      <c r="I48" s="12">
        <f t="shared" si="8"/>
        <v>5.9286177250000002E-2</v>
      </c>
      <c r="J48" s="12">
        <f t="shared" si="4"/>
        <v>0.7102242619544421</v>
      </c>
      <c r="K48" s="30">
        <f t="shared" si="9"/>
        <v>0.71143412700000008</v>
      </c>
    </row>
    <row r="49" spans="2:11" x14ac:dyDescent="0.2">
      <c r="B49" s="11">
        <v>126</v>
      </c>
      <c r="C49" s="7">
        <v>11</v>
      </c>
      <c r="D49" s="7">
        <f t="shared" si="3"/>
        <v>264</v>
      </c>
      <c r="E49" s="12">
        <v>1.1454</v>
      </c>
      <c r="F49" s="12">
        <v>4.8737682539999998</v>
      </c>
      <c r="G49" s="12">
        <f t="shared" si="6"/>
        <v>9.0904761904761902</v>
      </c>
      <c r="H49" s="12">
        <f t="shared" si="7"/>
        <v>3.4433621933621934E-2</v>
      </c>
      <c r="I49" s="12">
        <f t="shared" si="8"/>
        <v>5.7296332371212122E-2</v>
      </c>
      <c r="J49" s="12">
        <f t="shared" si="4"/>
        <v>0.60097427721085173</v>
      </c>
      <c r="K49" s="30">
        <f t="shared" si="9"/>
        <v>0.75631158730000003</v>
      </c>
    </row>
    <row r="50" spans="2:11" x14ac:dyDescent="0.2">
      <c r="B50" s="11">
        <v>126</v>
      </c>
      <c r="C50" s="7">
        <v>13</v>
      </c>
      <c r="D50" s="7">
        <f t="shared" si="3"/>
        <v>312</v>
      </c>
      <c r="E50" s="12">
        <v>1.4633</v>
      </c>
      <c r="F50" s="12">
        <v>3.2802380950000001</v>
      </c>
      <c r="G50" s="12">
        <f t="shared" si="6"/>
        <v>11.613492063492064</v>
      </c>
      <c r="H50" s="12">
        <f t="shared" si="7"/>
        <v>3.7222730972730975E-2</v>
      </c>
      <c r="I50" s="12">
        <f t="shared" si="8"/>
        <v>5.3588980464743585E-2</v>
      </c>
      <c r="J50" s="12">
        <f t="shared" si="4"/>
        <v>0.69459673705156544</v>
      </c>
      <c r="K50" s="30">
        <f t="shared" si="9"/>
        <v>0.83598809524999995</v>
      </c>
    </row>
    <row r="51" spans="2:11" x14ac:dyDescent="0.2">
      <c r="B51" s="14">
        <v>126</v>
      </c>
      <c r="C51" s="2">
        <v>14</v>
      </c>
      <c r="D51" s="2">
        <f t="shared" si="3"/>
        <v>336</v>
      </c>
      <c r="E51" s="3">
        <v>1.6451</v>
      </c>
      <c r="F51" s="3">
        <v>3.4428238100000002</v>
      </c>
      <c r="G51" s="3">
        <f t="shared" si="6"/>
        <v>13.056349206349205</v>
      </c>
      <c r="H51" s="3">
        <f t="shared" si="7"/>
        <v>3.8858182161753588E-2</v>
      </c>
      <c r="I51" s="3">
        <f t="shared" si="8"/>
        <v>4.9277310089285715E-2</v>
      </c>
      <c r="J51" s="3">
        <f t="shared" si="4"/>
        <v>0.7885613498656141</v>
      </c>
      <c r="K51" s="31">
        <f t="shared" si="9"/>
        <v>0.82785880950000001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0FF2-1072-4786-9ED6-C77FDAFA6185}">
  <dimension ref="B1:L51"/>
  <sheetViews>
    <sheetView zoomScaleNormal="100" workbookViewId="0">
      <selection activeCell="H12" sqref="H12"/>
    </sheetView>
  </sheetViews>
  <sheetFormatPr baseColWidth="10" defaultColWidth="8.83203125" defaultRowHeight="15" x14ac:dyDescent="0.2"/>
  <cols>
    <col min="1" max="1" width="2.6640625" style="1" customWidth="1"/>
    <col min="2" max="2" width="11.83203125" style="1" bestFit="1" customWidth="1"/>
    <col min="3" max="4" width="8.83203125" style="1"/>
    <col min="5" max="5" width="16" style="1" bestFit="1" customWidth="1"/>
    <col min="6" max="6" width="12" style="1" bestFit="1" customWidth="1"/>
    <col min="7" max="7" width="9.83203125" style="1" bestFit="1" customWidth="1"/>
    <col min="8" max="8" width="20.33203125" style="5" bestFit="1" customWidth="1"/>
    <col min="9" max="9" width="28.6640625" style="5" bestFit="1" customWidth="1"/>
    <col min="10" max="10" width="30.6640625" style="1" bestFit="1" customWidth="1"/>
    <col min="11" max="11" width="12.33203125" style="1" bestFit="1" customWidth="1"/>
    <col min="12" max="12" width="20.5" style="1" bestFit="1" customWidth="1"/>
    <col min="13" max="16384" width="8.83203125" style="1"/>
  </cols>
  <sheetData>
    <row r="1" spans="2:12" x14ac:dyDescent="0.2">
      <c r="H1" s="27" t="s">
        <v>0</v>
      </c>
      <c r="I1" s="1" t="s">
        <v>1</v>
      </c>
      <c r="J1" s="1" t="s">
        <v>2</v>
      </c>
      <c r="K1" s="1" t="s">
        <v>3</v>
      </c>
      <c r="L1" s="28" t="s">
        <v>12</v>
      </c>
    </row>
    <row r="2" spans="2:12" ht="14.5" customHeight="1" x14ac:dyDescent="0.2">
      <c r="B2" s="8" t="s">
        <v>4</v>
      </c>
      <c r="C2" s="9" t="s">
        <v>15</v>
      </c>
      <c r="D2" s="9" t="s">
        <v>6</v>
      </c>
      <c r="E2" s="9" t="s">
        <v>16</v>
      </c>
      <c r="F2" s="9" t="s">
        <v>17</v>
      </c>
      <c r="G2" s="9" t="s">
        <v>18</v>
      </c>
      <c r="H2" s="10" t="s">
        <v>13</v>
      </c>
      <c r="I2" s="15" t="s">
        <v>9</v>
      </c>
      <c r="J2" s="18" t="s">
        <v>10</v>
      </c>
      <c r="K2" s="21" t="s">
        <v>11</v>
      </c>
      <c r="L2" s="24" t="s">
        <v>14</v>
      </c>
    </row>
    <row r="3" spans="2:12" x14ac:dyDescent="0.2">
      <c r="B3" s="11">
        <v>18</v>
      </c>
      <c r="C3" s="7">
        <v>7</v>
      </c>
      <c r="D3" s="6">
        <f>C3*24</f>
        <v>168</v>
      </c>
      <c r="E3" s="12">
        <v>0.41099999999999998</v>
      </c>
      <c r="F3" s="12">
        <v>2.483473016</v>
      </c>
      <c r="G3" s="12">
        <v>0.43533333299999999</v>
      </c>
      <c r="H3" s="13">
        <f>E3*1000/B3</f>
        <v>22.833333333333332</v>
      </c>
      <c r="I3" s="16">
        <f>H3/D3</f>
        <v>0.1359126984126984</v>
      </c>
      <c r="J3" s="19">
        <f>(20-F3)/D3</f>
        <v>0.10426504157142856</v>
      </c>
      <c r="K3" s="22">
        <f>(H3)/(20-F3)</f>
        <v>1.3035308514176256</v>
      </c>
      <c r="L3" s="25">
        <f>(20-F3)/20</f>
        <v>0.87582634919999991</v>
      </c>
    </row>
    <row r="4" spans="2:12" x14ac:dyDescent="0.2">
      <c r="B4" s="11">
        <v>18</v>
      </c>
      <c r="C4" s="7">
        <v>8</v>
      </c>
      <c r="D4" s="7">
        <f t="shared" ref="D4:D51" si="0">C4*24</f>
        <v>192</v>
      </c>
      <c r="E4" s="12">
        <v>0.52610000000000001</v>
      </c>
      <c r="F4" s="12">
        <v>0.56667301599999997</v>
      </c>
      <c r="G4" s="12">
        <v>9.9333332999999996E-2</v>
      </c>
      <c r="H4" s="13">
        <f t="shared" ref="H4:H51" si="1">E4*1000/B4</f>
        <v>29.227777777777778</v>
      </c>
      <c r="I4" s="16">
        <f t="shared" ref="I4:I51" si="2">H4/D4</f>
        <v>0.15222800925925925</v>
      </c>
      <c r="J4" s="19">
        <f t="shared" ref="J4:J51" si="3">(20-F4)/D4</f>
        <v>0.10121524470833333</v>
      </c>
      <c r="K4" s="22">
        <f t="shared" ref="K4:K51" si="4">H4/(20-F4)</f>
        <v>1.5040027784147214</v>
      </c>
      <c r="L4" s="25">
        <f t="shared" ref="L4:L51" si="5">(20-F4)/20</f>
        <v>0.97166634920000006</v>
      </c>
    </row>
    <row r="5" spans="2:12" x14ac:dyDescent="0.2">
      <c r="B5" s="11">
        <v>18</v>
      </c>
      <c r="C5" s="7">
        <v>9</v>
      </c>
      <c r="D5" s="7">
        <f t="shared" si="0"/>
        <v>216</v>
      </c>
      <c r="E5" s="12">
        <v>0.53910000000000002</v>
      </c>
      <c r="F5" s="12">
        <v>0.72640634900000001</v>
      </c>
      <c r="G5" s="12">
        <v>0.12733333299999999</v>
      </c>
      <c r="H5" s="13">
        <f t="shared" si="1"/>
        <v>29.950000000000003</v>
      </c>
      <c r="I5" s="16">
        <f t="shared" si="2"/>
        <v>0.13865740740740742</v>
      </c>
      <c r="J5" s="19">
        <f t="shared" si="3"/>
        <v>8.9229600236111109E-2</v>
      </c>
      <c r="K5" s="22">
        <f t="shared" si="4"/>
        <v>1.5539395788001407</v>
      </c>
      <c r="L5" s="25">
        <f t="shared" si="5"/>
        <v>0.96367968254999992</v>
      </c>
    </row>
    <row r="6" spans="2:12" x14ac:dyDescent="0.2">
      <c r="B6" s="11">
        <v>18</v>
      </c>
      <c r="C6" s="7">
        <v>10</v>
      </c>
      <c r="D6" s="7">
        <f t="shared" si="0"/>
        <v>240</v>
      </c>
      <c r="E6" s="12">
        <v>0.45669999999999999</v>
      </c>
      <c r="F6" s="12">
        <v>0.57618095199999997</v>
      </c>
      <c r="G6" s="12">
        <v>0.10100000000000001</v>
      </c>
      <c r="H6" s="13">
        <f t="shared" si="1"/>
        <v>25.37222222222222</v>
      </c>
      <c r="I6" s="16">
        <f t="shared" si="2"/>
        <v>0.10571759259259259</v>
      </c>
      <c r="J6" s="19">
        <f t="shared" si="3"/>
        <v>8.093257936666666E-2</v>
      </c>
      <c r="K6" s="22">
        <f t="shared" si="4"/>
        <v>1.3062427198030713</v>
      </c>
      <c r="L6" s="25">
        <f t="shared" si="5"/>
        <v>0.97119095239999997</v>
      </c>
    </row>
    <row r="7" spans="2:12" x14ac:dyDescent="0.2">
      <c r="B7" s="11">
        <v>18</v>
      </c>
      <c r="C7" s="7">
        <v>11</v>
      </c>
      <c r="D7" s="7">
        <f t="shared" si="0"/>
        <v>264</v>
      </c>
      <c r="E7" s="12">
        <v>0.41949999999999998</v>
      </c>
      <c r="F7" s="12">
        <v>0.59709841299999999</v>
      </c>
      <c r="G7" s="12">
        <v>0.104666667</v>
      </c>
      <c r="H7" s="13">
        <f t="shared" si="1"/>
        <v>23.305555555555557</v>
      </c>
      <c r="I7" s="16">
        <f t="shared" si="2"/>
        <v>8.827861952861954E-2</v>
      </c>
      <c r="J7" s="19">
        <f t="shared" si="3"/>
        <v>7.3495839344696959E-2</v>
      </c>
      <c r="K7" s="22">
        <f t="shared" si="4"/>
        <v>1.2011376469161885</v>
      </c>
      <c r="L7" s="25">
        <f t="shared" si="5"/>
        <v>0.97014507934999994</v>
      </c>
    </row>
    <row r="8" spans="2:12" x14ac:dyDescent="0.2">
      <c r="B8" s="11">
        <v>18</v>
      </c>
      <c r="C8" s="7">
        <v>13</v>
      </c>
      <c r="D8" s="7">
        <f t="shared" si="0"/>
        <v>312</v>
      </c>
      <c r="E8" s="12">
        <v>0.37440000000000001</v>
      </c>
      <c r="F8" s="12">
        <v>0.58949206300000001</v>
      </c>
      <c r="G8" s="12">
        <v>0.103333333</v>
      </c>
      <c r="H8" s="13">
        <f t="shared" si="1"/>
        <v>20.8</v>
      </c>
      <c r="I8" s="16">
        <f t="shared" si="2"/>
        <v>6.6666666666666666E-2</v>
      </c>
      <c r="J8" s="19">
        <f t="shared" si="3"/>
        <v>6.2213166464743584E-2</v>
      </c>
      <c r="K8" s="22">
        <f t="shared" si="4"/>
        <v>1.071584528725875</v>
      </c>
      <c r="L8" s="25">
        <f t="shared" si="5"/>
        <v>0.97052539684999994</v>
      </c>
    </row>
    <row r="9" spans="2:12" x14ac:dyDescent="0.2">
      <c r="B9" s="14">
        <v>18</v>
      </c>
      <c r="C9" s="2">
        <v>14</v>
      </c>
      <c r="D9" s="2">
        <f t="shared" si="0"/>
        <v>336</v>
      </c>
      <c r="E9" s="3">
        <v>0.25879999999999997</v>
      </c>
      <c r="F9" s="3">
        <v>0.59044285699999999</v>
      </c>
      <c r="G9" s="3">
        <v>0.10349999999999999</v>
      </c>
      <c r="H9" s="4">
        <f t="shared" si="1"/>
        <v>14.377777777777775</v>
      </c>
      <c r="I9" s="17">
        <f t="shared" si="2"/>
        <v>4.2791005291005282E-2</v>
      </c>
      <c r="J9" s="20">
        <f t="shared" si="3"/>
        <v>5.7766539116071429E-2</v>
      </c>
      <c r="K9" s="23">
        <f t="shared" si="4"/>
        <v>0.74075764180756065</v>
      </c>
      <c r="L9" s="26">
        <f t="shared" si="5"/>
        <v>0.97047785715000001</v>
      </c>
    </row>
    <row r="10" spans="2:12" x14ac:dyDescent="0.2">
      <c r="B10" s="11">
        <v>36</v>
      </c>
      <c r="C10" s="7">
        <v>7</v>
      </c>
      <c r="D10" s="6">
        <f>C10*24</f>
        <v>168</v>
      </c>
      <c r="E10" s="12">
        <v>0.78259999999999996</v>
      </c>
      <c r="F10" s="12">
        <v>2.7059587299999999</v>
      </c>
      <c r="G10" s="12">
        <v>0.47433333300000002</v>
      </c>
      <c r="H10" s="13">
        <f t="shared" si="1"/>
        <v>21.738888888888887</v>
      </c>
      <c r="I10" s="16">
        <f>H10/D10</f>
        <v>0.12939814814814815</v>
      </c>
      <c r="J10" s="19">
        <f>(20-F10)/D10</f>
        <v>0.1029407218452381</v>
      </c>
      <c r="K10" s="22">
        <f>H10/(20-F10)</f>
        <v>1.2570161334470371</v>
      </c>
      <c r="L10" s="25">
        <f>(20-F10)/20</f>
        <v>0.86470206350000001</v>
      </c>
    </row>
    <row r="11" spans="2:12" x14ac:dyDescent="0.2">
      <c r="B11" s="11">
        <v>36</v>
      </c>
      <c r="C11" s="7">
        <v>8</v>
      </c>
      <c r="D11" s="7">
        <f t="shared" si="0"/>
        <v>192</v>
      </c>
      <c r="E11" s="12">
        <v>0.85270000000000001</v>
      </c>
      <c r="F11" s="12">
        <v>1.327307937</v>
      </c>
      <c r="G11" s="12">
        <v>0.23266666699999999</v>
      </c>
      <c r="H11" s="13">
        <f t="shared" si="1"/>
        <v>23.686111111111114</v>
      </c>
      <c r="I11" s="16">
        <f t="shared" si="2"/>
        <v>0.12336516203703705</v>
      </c>
      <c r="J11" s="19">
        <f t="shared" si="3"/>
        <v>9.7253604494791659E-2</v>
      </c>
      <c r="K11" s="22">
        <f t="shared" si="4"/>
        <v>1.2684893550001406</v>
      </c>
      <c r="L11" s="25">
        <f t="shared" si="5"/>
        <v>0.93363460315000002</v>
      </c>
    </row>
    <row r="12" spans="2:12" x14ac:dyDescent="0.2">
      <c r="B12" s="11">
        <v>36</v>
      </c>
      <c r="C12" s="7">
        <v>9</v>
      </c>
      <c r="D12" s="7">
        <f t="shared" si="0"/>
        <v>216</v>
      </c>
      <c r="E12" s="12">
        <v>0.88549999999999995</v>
      </c>
      <c r="F12" s="12">
        <v>0.67316190499999995</v>
      </c>
      <c r="G12" s="12">
        <v>0.11799999999999999</v>
      </c>
      <c r="H12" s="13">
        <f t="shared" si="1"/>
        <v>24.597222222222221</v>
      </c>
      <c r="I12" s="16">
        <f t="shared" si="2"/>
        <v>0.11387602880658436</v>
      </c>
      <c r="J12" s="19">
        <f t="shared" si="3"/>
        <v>8.9476102291666665E-2</v>
      </c>
      <c r="K12" s="22">
        <f t="shared" si="4"/>
        <v>1.2726976912268806</v>
      </c>
      <c r="L12" s="25">
        <f t="shared" si="5"/>
        <v>0.96634190474999992</v>
      </c>
    </row>
    <row r="13" spans="2:12" x14ac:dyDescent="0.2">
      <c r="B13" s="11">
        <v>36</v>
      </c>
      <c r="C13" s="7">
        <v>10</v>
      </c>
      <c r="D13" s="7">
        <f t="shared" si="0"/>
        <v>240</v>
      </c>
      <c r="E13" s="12">
        <v>0.75609999999999999</v>
      </c>
      <c r="F13" s="12">
        <v>0.56096825400000006</v>
      </c>
      <c r="G13" s="12">
        <v>9.8333332999999995E-2</v>
      </c>
      <c r="H13" s="13">
        <f t="shared" si="1"/>
        <v>21.00277777777778</v>
      </c>
      <c r="I13" s="16">
        <f t="shared" si="2"/>
        <v>8.7511574074074089E-2</v>
      </c>
      <c r="J13" s="19">
        <f t="shared" si="3"/>
        <v>8.0995965608333345E-2</v>
      </c>
      <c r="K13" s="22">
        <f t="shared" si="4"/>
        <v>1.0804436173679048</v>
      </c>
      <c r="L13" s="25">
        <f t="shared" si="5"/>
        <v>0.97195158730000009</v>
      </c>
    </row>
    <row r="14" spans="2:12" x14ac:dyDescent="0.2">
      <c r="B14" s="11">
        <v>36</v>
      </c>
      <c r="C14" s="7">
        <v>11</v>
      </c>
      <c r="D14" s="7">
        <f t="shared" si="0"/>
        <v>264</v>
      </c>
      <c r="E14" s="12">
        <v>0.73699999999999999</v>
      </c>
      <c r="F14" s="12">
        <v>0.57808254000000003</v>
      </c>
      <c r="G14" s="12">
        <v>0.101333333</v>
      </c>
      <c r="H14" s="13">
        <f t="shared" si="1"/>
        <v>20.472222222222221</v>
      </c>
      <c r="I14" s="16">
        <f t="shared" si="2"/>
        <v>7.7546296296296294E-2</v>
      </c>
      <c r="J14" s="19">
        <f t="shared" si="3"/>
        <v>7.3567869166666661E-2</v>
      </c>
      <c r="K14" s="22">
        <f t="shared" si="4"/>
        <v>1.0540783248814312</v>
      </c>
      <c r="L14" s="25">
        <f t="shared" si="5"/>
        <v>0.971095873</v>
      </c>
    </row>
    <row r="15" spans="2:12" x14ac:dyDescent="0.2">
      <c r="B15" s="11">
        <v>36</v>
      </c>
      <c r="C15" s="7">
        <v>13</v>
      </c>
      <c r="D15" s="7">
        <f t="shared" si="0"/>
        <v>312</v>
      </c>
      <c r="E15" s="12">
        <v>0.63180000000000003</v>
      </c>
      <c r="F15" s="12">
        <v>0.58949206300000001</v>
      </c>
      <c r="G15" s="12">
        <v>0.103333333</v>
      </c>
      <c r="H15" s="13">
        <f t="shared" si="1"/>
        <v>17.55</v>
      </c>
      <c r="I15" s="16">
        <f t="shared" si="2"/>
        <v>5.6250000000000001E-2</v>
      </c>
      <c r="J15" s="19">
        <f t="shared" si="3"/>
        <v>6.2213166464743584E-2</v>
      </c>
      <c r="K15" s="22">
        <f t="shared" si="4"/>
        <v>0.90414944611245707</v>
      </c>
      <c r="L15" s="25">
        <f t="shared" si="5"/>
        <v>0.97052539684999994</v>
      </c>
    </row>
    <row r="16" spans="2:12" x14ac:dyDescent="0.2">
      <c r="B16" s="14">
        <v>36</v>
      </c>
      <c r="C16" s="2">
        <v>14</v>
      </c>
      <c r="D16" s="2">
        <f t="shared" si="0"/>
        <v>336</v>
      </c>
      <c r="E16" s="3">
        <v>0.52859999999999996</v>
      </c>
      <c r="F16" s="3">
        <v>0.59899999999999998</v>
      </c>
      <c r="G16" s="3">
        <v>0.105</v>
      </c>
      <c r="H16" s="4">
        <f t="shared" si="1"/>
        <v>14.68333333333333</v>
      </c>
      <c r="I16" s="17">
        <f t="shared" si="2"/>
        <v>4.3700396825396816E-2</v>
      </c>
      <c r="J16" s="20">
        <f t="shared" si="3"/>
        <v>5.7741071428571426E-2</v>
      </c>
      <c r="K16" s="23">
        <f t="shared" si="4"/>
        <v>0.75683384018005928</v>
      </c>
      <c r="L16" s="26">
        <f t="shared" si="5"/>
        <v>0.97004999999999997</v>
      </c>
    </row>
    <row r="17" spans="2:12" x14ac:dyDescent="0.2">
      <c r="B17" s="11">
        <v>54</v>
      </c>
      <c r="C17" s="7">
        <v>7</v>
      </c>
      <c r="D17" s="6">
        <f>C17*24</f>
        <v>168</v>
      </c>
      <c r="E17" s="12">
        <v>0.71060000000000001</v>
      </c>
      <c r="F17" s="12">
        <v>4.4192888889999997</v>
      </c>
      <c r="G17" s="12">
        <v>0.77466666699999998</v>
      </c>
      <c r="H17" s="13">
        <f t="shared" si="1"/>
        <v>13.15925925925926</v>
      </c>
      <c r="I17" s="16">
        <f>H17/D17</f>
        <v>7.8328924162257493E-2</v>
      </c>
      <c r="J17" s="19">
        <f>(20-F17)/D17</f>
        <v>9.2742328041666669E-2</v>
      </c>
      <c r="K17" s="22">
        <f>H17/(20-F17)</f>
        <v>0.84458656382947817</v>
      </c>
      <c r="L17" s="25">
        <f>(20-F17)/20</f>
        <v>0.77903555554999993</v>
      </c>
    </row>
    <row r="18" spans="2:12" x14ac:dyDescent="0.2">
      <c r="B18" s="11">
        <v>54</v>
      </c>
      <c r="C18" s="7">
        <v>8</v>
      </c>
      <c r="D18" s="7">
        <f t="shared" si="0"/>
        <v>192</v>
      </c>
      <c r="E18" s="12">
        <v>0.95240000000000002</v>
      </c>
      <c r="F18" s="12">
        <v>4.0865111110000001</v>
      </c>
      <c r="G18" s="12">
        <v>0.71633333300000002</v>
      </c>
      <c r="H18" s="13">
        <f t="shared" si="1"/>
        <v>17.637037037037036</v>
      </c>
      <c r="I18" s="16">
        <f t="shared" si="2"/>
        <v>9.1859567901234562E-2</v>
      </c>
      <c r="J18" s="19">
        <f t="shared" si="3"/>
        <v>8.2882754630208333E-2</v>
      </c>
      <c r="K18" s="22">
        <f t="shared" si="4"/>
        <v>1.1083073711905136</v>
      </c>
      <c r="L18" s="25">
        <f t="shared" si="5"/>
        <v>0.79567444445000002</v>
      </c>
    </row>
    <row r="19" spans="2:12" x14ac:dyDescent="0.2">
      <c r="B19" s="11">
        <v>54</v>
      </c>
      <c r="C19" s="7">
        <v>9</v>
      </c>
      <c r="D19" s="7">
        <f t="shared" si="0"/>
        <v>216</v>
      </c>
      <c r="E19" s="12">
        <v>1.1829000000000001</v>
      </c>
      <c r="F19" s="12">
        <v>1.840736508</v>
      </c>
      <c r="G19" s="12">
        <v>0.32266666700000002</v>
      </c>
      <c r="H19" s="13">
        <f t="shared" si="1"/>
        <v>21.905555555555559</v>
      </c>
      <c r="I19" s="16">
        <f t="shared" si="2"/>
        <v>0.10141460905349796</v>
      </c>
      <c r="J19" s="19">
        <f t="shared" si="3"/>
        <v>8.4070664314814816E-2</v>
      </c>
      <c r="K19" s="22">
        <f t="shared" si="4"/>
        <v>1.2063019827431862</v>
      </c>
      <c r="L19" s="25">
        <f t="shared" si="5"/>
        <v>0.90796317460000009</v>
      </c>
    </row>
    <row r="20" spans="2:12" x14ac:dyDescent="0.2">
      <c r="B20" s="11">
        <v>54</v>
      </c>
      <c r="C20" s="7">
        <v>10</v>
      </c>
      <c r="D20" s="7">
        <f t="shared" si="0"/>
        <v>240</v>
      </c>
      <c r="E20" s="12">
        <v>1.1658999999999999</v>
      </c>
      <c r="F20" s="12">
        <v>1.306390476</v>
      </c>
      <c r="G20" s="12">
        <v>0.22900000000000001</v>
      </c>
      <c r="H20" s="13">
        <f t="shared" si="1"/>
        <v>21.590740740740738</v>
      </c>
      <c r="I20" s="16">
        <f t="shared" si="2"/>
        <v>8.9961419753086413E-2</v>
      </c>
      <c r="J20" s="19">
        <f t="shared" si="3"/>
        <v>7.7890039683333329E-2</v>
      </c>
      <c r="K20" s="22">
        <f t="shared" si="4"/>
        <v>1.154979765305423</v>
      </c>
      <c r="L20" s="25">
        <f t="shared" si="5"/>
        <v>0.93468047619999994</v>
      </c>
    </row>
    <row r="21" spans="2:12" x14ac:dyDescent="0.2">
      <c r="B21" s="11">
        <v>54</v>
      </c>
      <c r="C21" s="7">
        <v>11</v>
      </c>
      <c r="D21" s="7">
        <f t="shared" si="0"/>
        <v>264</v>
      </c>
      <c r="E21" s="12">
        <v>0.99950000000000006</v>
      </c>
      <c r="F21" s="12">
        <v>0.63513015900000003</v>
      </c>
      <c r="G21" s="12">
        <v>0.11133333300000001</v>
      </c>
      <c r="H21" s="13">
        <f t="shared" si="1"/>
        <v>18.50925925925926</v>
      </c>
      <c r="I21" s="16">
        <f t="shared" si="2"/>
        <v>7.0110830527497198E-2</v>
      </c>
      <c r="J21" s="19">
        <f t="shared" si="3"/>
        <v>7.3351779700757583E-2</v>
      </c>
      <c r="K21" s="22">
        <f t="shared" si="4"/>
        <v>0.95581635256183273</v>
      </c>
      <c r="L21" s="25">
        <f t="shared" si="5"/>
        <v>0.96824349205000004</v>
      </c>
    </row>
    <row r="22" spans="2:12" x14ac:dyDescent="0.2">
      <c r="B22" s="11">
        <v>54</v>
      </c>
      <c r="C22" s="7">
        <v>13</v>
      </c>
      <c r="D22" s="7">
        <f t="shared" si="0"/>
        <v>312</v>
      </c>
      <c r="E22" s="12">
        <v>1.0925</v>
      </c>
      <c r="F22" s="12">
        <v>0.59519682500000004</v>
      </c>
      <c r="G22" s="12">
        <v>0.104333333</v>
      </c>
      <c r="H22" s="13">
        <f t="shared" si="1"/>
        <v>20.231481481481481</v>
      </c>
      <c r="I22" s="16">
        <f t="shared" si="2"/>
        <v>6.4844491927825265E-2</v>
      </c>
      <c r="J22" s="19">
        <f t="shared" si="3"/>
        <v>6.2194881971153852E-2</v>
      </c>
      <c r="K22" s="22">
        <f t="shared" si="4"/>
        <v>1.0426017362312916</v>
      </c>
      <c r="L22" s="25">
        <f t="shared" si="5"/>
        <v>0.97024015875000003</v>
      </c>
    </row>
    <row r="23" spans="2:12" x14ac:dyDescent="0.2">
      <c r="B23" s="14">
        <v>54</v>
      </c>
      <c r="C23" s="2">
        <v>14</v>
      </c>
      <c r="D23" s="2">
        <f t="shared" si="0"/>
        <v>336</v>
      </c>
      <c r="E23" s="3">
        <v>1.0177</v>
      </c>
      <c r="F23" s="3">
        <v>0.613261905</v>
      </c>
      <c r="G23" s="3">
        <v>0.1075</v>
      </c>
      <c r="H23" s="4">
        <f t="shared" si="1"/>
        <v>18.846296296296298</v>
      </c>
      <c r="I23" s="17">
        <f t="shared" si="2"/>
        <v>5.6090167548500887E-2</v>
      </c>
      <c r="J23" s="20">
        <f t="shared" si="3"/>
        <v>5.7698625282738093E-2</v>
      </c>
      <c r="K23" s="23">
        <f t="shared" si="4"/>
        <v>0.97212311859502121</v>
      </c>
      <c r="L23" s="26">
        <f t="shared" si="5"/>
        <v>0.96933690474999989</v>
      </c>
    </row>
    <row r="24" spans="2:12" x14ac:dyDescent="0.2">
      <c r="B24" s="11">
        <v>72</v>
      </c>
      <c r="C24" s="7">
        <v>7</v>
      </c>
      <c r="D24" s="6">
        <f>C24*24</f>
        <v>168</v>
      </c>
      <c r="E24" s="12">
        <v>0.70079999999999998</v>
      </c>
      <c r="F24" s="12">
        <v>5.5317174600000003</v>
      </c>
      <c r="G24" s="12">
        <v>0.96966666700000004</v>
      </c>
      <c r="H24" s="13">
        <f t="shared" si="1"/>
        <v>9.7333333333333325</v>
      </c>
      <c r="I24" s="16">
        <f>H24/D24</f>
        <v>5.7936507936507932E-2</v>
      </c>
      <c r="J24" s="19">
        <f>(20-F24)/D24</f>
        <v>8.6120729404761912E-2</v>
      </c>
      <c r="K24" s="22">
        <f>H24/(20-F24)</f>
        <v>0.67273591778594977</v>
      </c>
      <c r="L24" s="25">
        <f>(20-F24)/20</f>
        <v>0.72341412700000007</v>
      </c>
    </row>
    <row r="25" spans="2:12" x14ac:dyDescent="0.2">
      <c r="B25" s="11">
        <v>72</v>
      </c>
      <c r="C25" s="7">
        <v>8</v>
      </c>
      <c r="D25" s="7">
        <f t="shared" si="0"/>
        <v>192</v>
      </c>
      <c r="E25" s="12">
        <v>0.78779999999999994</v>
      </c>
      <c r="F25" s="12">
        <v>6.0147206349999998</v>
      </c>
      <c r="G25" s="12">
        <v>1.054333333</v>
      </c>
      <c r="H25" s="13">
        <f t="shared" si="1"/>
        <v>10.941666666666666</v>
      </c>
      <c r="I25" s="16">
        <f t="shared" si="2"/>
        <v>5.6987847222222221E-2</v>
      </c>
      <c r="J25" s="19">
        <f t="shared" si="3"/>
        <v>7.2839996692708339E-2</v>
      </c>
      <c r="K25" s="22">
        <f t="shared" si="4"/>
        <v>0.78237026097952866</v>
      </c>
      <c r="L25" s="25">
        <f t="shared" si="5"/>
        <v>0.69926396825000003</v>
      </c>
    </row>
    <row r="26" spans="2:12" x14ac:dyDescent="0.2">
      <c r="B26" s="11">
        <v>72</v>
      </c>
      <c r="C26" s="7">
        <v>9</v>
      </c>
      <c r="D26" s="7">
        <f t="shared" si="0"/>
        <v>216</v>
      </c>
      <c r="E26" s="12">
        <v>1.1171</v>
      </c>
      <c r="F26" s="12">
        <v>3.590196825</v>
      </c>
      <c r="G26" s="12">
        <v>0.62933333300000005</v>
      </c>
      <c r="H26" s="13">
        <f t="shared" si="1"/>
        <v>15.515277777777776</v>
      </c>
      <c r="I26" s="16">
        <f t="shared" si="2"/>
        <v>7.1829989711934147E-2</v>
      </c>
      <c r="J26" s="19">
        <f t="shared" si="3"/>
        <v>7.597131099537037E-2</v>
      </c>
      <c r="K26" s="22">
        <f t="shared" si="4"/>
        <v>0.94548835304831591</v>
      </c>
      <c r="L26" s="25">
        <f t="shared" si="5"/>
        <v>0.82049015874999998</v>
      </c>
    </row>
    <row r="27" spans="2:12" x14ac:dyDescent="0.2">
      <c r="B27" s="11">
        <v>72</v>
      </c>
      <c r="C27" s="7">
        <v>10</v>
      </c>
      <c r="D27" s="7">
        <f t="shared" si="0"/>
        <v>240</v>
      </c>
      <c r="E27" s="12">
        <v>1.2358</v>
      </c>
      <c r="F27" s="12">
        <v>2.5348158729999999</v>
      </c>
      <c r="G27" s="12">
        <v>0.444333333</v>
      </c>
      <c r="H27" s="13">
        <f t="shared" si="1"/>
        <v>17.163888888888888</v>
      </c>
      <c r="I27" s="16">
        <f t="shared" si="2"/>
        <v>7.1516203703703693E-2</v>
      </c>
      <c r="J27" s="19">
        <f t="shared" si="3"/>
        <v>7.2771600529166675E-2</v>
      </c>
      <c r="K27" s="22">
        <f t="shared" si="4"/>
        <v>0.98274880837669898</v>
      </c>
      <c r="L27" s="25">
        <f t="shared" si="5"/>
        <v>0.87325920634999998</v>
      </c>
    </row>
    <row r="28" spans="2:12" x14ac:dyDescent="0.2">
      <c r="B28" s="11">
        <v>72</v>
      </c>
      <c r="C28" s="7">
        <v>11</v>
      </c>
      <c r="D28" s="7">
        <f t="shared" si="0"/>
        <v>264</v>
      </c>
      <c r="E28" s="12">
        <v>1.0915999999999999</v>
      </c>
      <c r="F28" s="12">
        <v>2.6831396829999998</v>
      </c>
      <c r="G28" s="12">
        <v>0.47033333300000002</v>
      </c>
      <c r="H28" s="13">
        <f t="shared" si="1"/>
        <v>15.16111111111111</v>
      </c>
      <c r="I28" s="16">
        <f t="shared" si="2"/>
        <v>5.7428451178451176E-2</v>
      </c>
      <c r="J28" s="19">
        <f t="shared" si="3"/>
        <v>6.5594167867424238E-2</v>
      </c>
      <c r="K28" s="22">
        <f t="shared" si="4"/>
        <v>0.87551154386961327</v>
      </c>
      <c r="L28" s="25">
        <f t="shared" si="5"/>
        <v>0.86584301585000001</v>
      </c>
    </row>
    <row r="29" spans="2:12" x14ac:dyDescent="0.2">
      <c r="B29" s="11">
        <v>72</v>
      </c>
      <c r="C29" s="7">
        <v>13</v>
      </c>
      <c r="D29" s="7">
        <f t="shared" si="0"/>
        <v>312</v>
      </c>
      <c r="E29" s="12">
        <v>1.2942</v>
      </c>
      <c r="F29" s="12">
        <v>0.67696507900000003</v>
      </c>
      <c r="G29" s="12">
        <v>0.118666667</v>
      </c>
      <c r="H29" s="13">
        <f t="shared" si="1"/>
        <v>17.975000000000001</v>
      </c>
      <c r="I29" s="16">
        <f t="shared" si="2"/>
        <v>5.7612179487179491E-2</v>
      </c>
      <c r="J29" s="19">
        <f t="shared" si="3"/>
        <v>6.1932804233974362E-2</v>
      </c>
      <c r="K29" s="22">
        <f t="shared" si="4"/>
        <v>0.93023689464355441</v>
      </c>
      <c r="L29" s="25">
        <f t="shared" si="5"/>
        <v>0.96615174605000009</v>
      </c>
    </row>
    <row r="30" spans="2:12" x14ac:dyDescent="0.2">
      <c r="B30" s="14">
        <v>72</v>
      </c>
      <c r="C30" s="2">
        <v>14</v>
      </c>
      <c r="D30" s="2">
        <f t="shared" si="0"/>
        <v>336</v>
      </c>
      <c r="E30" s="3">
        <v>1.3512</v>
      </c>
      <c r="F30" s="3">
        <v>0.58759047600000003</v>
      </c>
      <c r="G30" s="3">
        <v>0.10299999999999999</v>
      </c>
      <c r="H30" s="4">
        <f t="shared" si="1"/>
        <v>18.766666666666666</v>
      </c>
      <c r="I30" s="17">
        <f t="shared" si="2"/>
        <v>5.5853174603174599E-2</v>
      </c>
      <c r="J30" s="20">
        <f t="shared" si="3"/>
        <v>5.7775028345238101E-2</v>
      </c>
      <c r="K30" s="23">
        <f t="shared" si="4"/>
        <v>0.96673556383946113</v>
      </c>
      <c r="L30" s="26">
        <f t="shared" si="5"/>
        <v>0.97062047620000003</v>
      </c>
    </row>
    <row r="31" spans="2:12" x14ac:dyDescent="0.2">
      <c r="B31" s="11">
        <v>90</v>
      </c>
      <c r="C31" s="7">
        <v>7</v>
      </c>
      <c r="D31" s="6">
        <f>C31*24</f>
        <v>168</v>
      </c>
      <c r="E31" s="12">
        <v>0.6704</v>
      </c>
      <c r="F31" s="12">
        <v>7.4161904759999997</v>
      </c>
      <c r="G31" s="12">
        <v>1.3</v>
      </c>
      <c r="H31" s="13">
        <f t="shared" si="1"/>
        <v>7.4488888888888889</v>
      </c>
      <c r="I31" s="16">
        <f>H31/D31</f>
        <v>4.4338624338624337E-2</v>
      </c>
      <c r="J31" s="19">
        <f>(20-F31)/D31</f>
        <v>7.4903628119047619E-2</v>
      </c>
      <c r="K31" s="22">
        <f>H31/(20-F31)</f>
        <v>0.59194227905963415</v>
      </c>
      <c r="L31" s="25">
        <f>(20-F31)/20</f>
        <v>0.62919047620000002</v>
      </c>
    </row>
    <row r="32" spans="2:12" x14ac:dyDescent="0.2">
      <c r="B32" s="11">
        <v>90</v>
      </c>
      <c r="C32" s="7">
        <v>8</v>
      </c>
      <c r="D32" s="7">
        <f t="shared" si="0"/>
        <v>192</v>
      </c>
      <c r="E32" s="12">
        <v>0.76190000000000002</v>
      </c>
      <c r="F32" s="12">
        <v>5.8587904760000002</v>
      </c>
      <c r="G32" s="12">
        <v>1.0269999999999999</v>
      </c>
      <c r="H32" s="13">
        <f t="shared" si="1"/>
        <v>8.4655555555555555</v>
      </c>
      <c r="I32" s="16">
        <f t="shared" si="2"/>
        <v>4.4091435185185185E-2</v>
      </c>
      <c r="J32" s="19">
        <f t="shared" si="3"/>
        <v>7.3652132937500003E-2</v>
      </c>
      <c r="K32" s="22">
        <f t="shared" si="4"/>
        <v>0.59864437629525891</v>
      </c>
      <c r="L32" s="25">
        <f t="shared" si="5"/>
        <v>0.70706047620000001</v>
      </c>
    </row>
    <row r="33" spans="2:12" x14ac:dyDescent="0.2">
      <c r="B33" s="11">
        <v>90</v>
      </c>
      <c r="C33" s="7">
        <v>9</v>
      </c>
      <c r="D33" s="7">
        <f t="shared" si="0"/>
        <v>216</v>
      </c>
      <c r="E33" s="12">
        <v>0.88370000000000004</v>
      </c>
      <c r="F33" s="12">
        <v>6.1117015869999998</v>
      </c>
      <c r="G33" s="12">
        <v>1.0713333330000001</v>
      </c>
      <c r="H33" s="13">
        <f t="shared" si="1"/>
        <v>9.818888888888889</v>
      </c>
      <c r="I33" s="16">
        <f t="shared" si="2"/>
        <v>4.5457818930041152E-2</v>
      </c>
      <c r="J33" s="19">
        <f t="shared" si="3"/>
        <v>6.4297677837962974E-2</v>
      </c>
      <c r="K33" s="22">
        <f t="shared" si="4"/>
        <v>0.70699005716193553</v>
      </c>
      <c r="L33" s="25">
        <f t="shared" si="5"/>
        <v>0.6944149206500001</v>
      </c>
    </row>
    <row r="34" spans="2:12" x14ac:dyDescent="0.2">
      <c r="B34" s="11">
        <v>90</v>
      </c>
      <c r="C34" s="7">
        <v>10</v>
      </c>
      <c r="D34" s="7">
        <f t="shared" si="0"/>
        <v>240</v>
      </c>
      <c r="E34" s="12">
        <v>1.2813000000000001</v>
      </c>
      <c r="F34" s="12">
        <v>3.9933333329999998</v>
      </c>
      <c r="G34" s="12">
        <v>0.7</v>
      </c>
      <c r="H34" s="13">
        <f t="shared" si="1"/>
        <v>14.236666666666668</v>
      </c>
      <c r="I34" s="16">
        <f t="shared" si="2"/>
        <v>5.9319444444444452E-2</v>
      </c>
      <c r="J34" s="19">
        <f t="shared" si="3"/>
        <v>6.6694444445833334E-2</v>
      </c>
      <c r="K34" s="22">
        <f t="shared" si="4"/>
        <v>0.88942107453374808</v>
      </c>
      <c r="L34" s="25">
        <f t="shared" si="5"/>
        <v>0.80033333335000001</v>
      </c>
    </row>
    <row r="35" spans="2:12" x14ac:dyDescent="0.2">
      <c r="B35" s="11">
        <v>90</v>
      </c>
      <c r="C35" s="7">
        <v>11</v>
      </c>
      <c r="D35" s="7">
        <f t="shared" si="0"/>
        <v>264</v>
      </c>
      <c r="E35" s="12">
        <v>1.3362000000000001</v>
      </c>
      <c r="F35" s="12">
        <v>3.8583206350000001</v>
      </c>
      <c r="G35" s="12">
        <v>0.67633333299999998</v>
      </c>
      <c r="H35" s="13">
        <f t="shared" si="1"/>
        <v>14.846666666666668</v>
      </c>
      <c r="I35" s="16">
        <f t="shared" si="2"/>
        <v>5.6237373737373739E-2</v>
      </c>
      <c r="J35" s="19">
        <f t="shared" si="3"/>
        <v>6.1142724867424246E-2</v>
      </c>
      <c r="K35" s="22">
        <f t="shared" si="4"/>
        <v>0.91977212103832828</v>
      </c>
      <c r="L35" s="25">
        <f t="shared" si="5"/>
        <v>0.80708396825000006</v>
      </c>
    </row>
    <row r="36" spans="2:12" x14ac:dyDescent="0.2">
      <c r="B36" s="11">
        <v>90</v>
      </c>
      <c r="C36" s="7">
        <v>13</v>
      </c>
      <c r="D36" s="7">
        <f t="shared" si="0"/>
        <v>312</v>
      </c>
      <c r="E36" s="12">
        <v>1.409</v>
      </c>
      <c r="F36" s="12">
        <v>1.7893936509999999</v>
      </c>
      <c r="G36" s="12">
        <v>0.31366666700000001</v>
      </c>
      <c r="H36" s="13">
        <f t="shared" si="1"/>
        <v>15.655555555555555</v>
      </c>
      <c r="I36" s="16">
        <f t="shared" si="2"/>
        <v>5.0178062678062678E-2</v>
      </c>
      <c r="J36" s="19">
        <f t="shared" si="3"/>
        <v>5.8367328041666666E-2</v>
      </c>
      <c r="K36" s="22">
        <f t="shared" si="4"/>
        <v>0.8596943591839955</v>
      </c>
      <c r="L36" s="25">
        <f t="shared" si="5"/>
        <v>0.9105303174499999</v>
      </c>
    </row>
    <row r="37" spans="2:12" x14ac:dyDescent="0.2">
      <c r="B37" s="14">
        <v>90</v>
      </c>
      <c r="C37" s="2">
        <v>14</v>
      </c>
      <c r="D37" s="2">
        <f t="shared" si="0"/>
        <v>336</v>
      </c>
      <c r="E37" s="3">
        <v>1.5801000000000001</v>
      </c>
      <c r="F37" s="3">
        <v>0.99833333300000004</v>
      </c>
      <c r="G37" s="3">
        <v>0.17499999999999999</v>
      </c>
      <c r="H37" s="4">
        <f t="shared" si="1"/>
        <v>17.556666666666668</v>
      </c>
      <c r="I37" s="17">
        <f t="shared" si="2"/>
        <v>5.2251984126984133E-2</v>
      </c>
      <c r="J37" s="20">
        <f t="shared" si="3"/>
        <v>5.6552579366071422E-2</v>
      </c>
      <c r="K37" s="23">
        <f t="shared" si="4"/>
        <v>0.92395403910316731</v>
      </c>
      <c r="L37" s="26">
        <f t="shared" si="5"/>
        <v>0.95008333334999995</v>
      </c>
    </row>
    <row r="38" spans="2:12" x14ac:dyDescent="0.2">
      <c r="B38" s="11">
        <v>108</v>
      </c>
      <c r="C38" s="7">
        <v>7</v>
      </c>
      <c r="D38" s="6">
        <f>C38*24</f>
        <v>168</v>
      </c>
      <c r="E38" s="12">
        <v>0.58430000000000004</v>
      </c>
      <c r="F38" s="12">
        <v>6.385530159</v>
      </c>
      <c r="G38" s="12">
        <v>1.1193333329999999</v>
      </c>
      <c r="H38" s="13">
        <f t="shared" si="1"/>
        <v>5.4101851851851857</v>
      </c>
      <c r="I38" s="16">
        <f>H38/D38</f>
        <v>3.2203483245149912E-2</v>
      </c>
      <c r="J38" s="19">
        <f>(20-F38)/D38</f>
        <v>8.1038510958333337E-2</v>
      </c>
      <c r="K38" s="22">
        <f>H38/(20-F38)</f>
        <v>0.39738493296980271</v>
      </c>
      <c r="L38" s="25">
        <f>(20-F38)/20</f>
        <v>0.68072349205000005</v>
      </c>
    </row>
    <row r="39" spans="2:12" x14ac:dyDescent="0.2">
      <c r="B39" s="11">
        <v>108</v>
      </c>
      <c r="C39" s="7">
        <v>8</v>
      </c>
      <c r="D39" s="7">
        <f t="shared" si="0"/>
        <v>192</v>
      </c>
      <c r="E39" s="12">
        <v>0.70240000000000002</v>
      </c>
      <c r="F39" s="12">
        <v>6.2029777780000002</v>
      </c>
      <c r="G39" s="12">
        <v>1.0873333329999999</v>
      </c>
      <c r="H39" s="13">
        <f t="shared" si="1"/>
        <v>6.5037037037037031</v>
      </c>
      <c r="I39" s="16">
        <f t="shared" si="2"/>
        <v>3.3873456790123456E-2</v>
      </c>
      <c r="J39" s="19">
        <f t="shared" si="3"/>
        <v>7.1859490739583323E-2</v>
      </c>
      <c r="K39" s="22">
        <f t="shared" si="4"/>
        <v>0.47138459292565627</v>
      </c>
      <c r="L39" s="25">
        <f t="shared" si="5"/>
        <v>0.68985111109999997</v>
      </c>
    </row>
    <row r="40" spans="2:12" x14ac:dyDescent="0.2">
      <c r="B40" s="11">
        <v>108</v>
      </c>
      <c r="C40" s="7">
        <v>9</v>
      </c>
      <c r="D40" s="7">
        <f t="shared" si="0"/>
        <v>216</v>
      </c>
      <c r="E40" s="12">
        <v>1.0331999999999999</v>
      </c>
      <c r="F40" s="12">
        <v>5.5621428570000004</v>
      </c>
      <c r="G40" s="12">
        <v>0.97499999999999998</v>
      </c>
      <c r="H40" s="13">
        <f t="shared" si="1"/>
        <v>9.5666666666666647</v>
      </c>
      <c r="I40" s="16">
        <f t="shared" si="2"/>
        <v>4.4290123456790113E-2</v>
      </c>
      <c r="J40" s="19">
        <f t="shared" si="3"/>
        <v>6.684193121759259E-2</v>
      </c>
      <c r="K40" s="22">
        <f t="shared" si="4"/>
        <v>0.66260987152826445</v>
      </c>
      <c r="L40" s="25">
        <f t="shared" si="5"/>
        <v>0.72189285714999996</v>
      </c>
    </row>
    <row r="41" spans="2:12" x14ac:dyDescent="0.2">
      <c r="B41" s="11">
        <v>108</v>
      </c>
      <c r="C41" s="7">
        <v>10</v>
      </c>
      <c r="D41" s="7">
        <f t="shared" si="0"/>
        <v>240</v>
      </c>
      <c r="E41" s="12">
        <v>1.4886999999999999</v>
      </c>
      <c r="F41" s="12">
        <v>4.2424412699999996</v>
      </c>
      <c r="G41" s="12">
        <v>0.74366666699999995</v>
      </c>
      <c r="H41" s="13">
        <f t="shared" si="1"/>
        <v>13.784259259259258</v>
      </c>
      <c r="I41" s="16">
        <f t="shared" si="2"/>
        <v>5.743441358024691E-2</v>
      </c>
      <c r="J41" s="19">
        <f t="shared" si="3"/>
        <v>6.5656494708333332E-2</v>
      </c>
      <c r="K41" s="22">
        <f t="shared" si="4"/>
        <v>0.8747712444197413</v>
      </c>
      <c r="L41" s="25">
        <f t="shared" si="5"/>
        <v>0.78787793649999993</v>
      </c>
    </row>
    <row r="42" spans="2:12" x14ac:dyDescent="0.2">
      <c r="B42" s="11">
        <v>108</v>
      </c>
      <c r="C42" s="7">
        <v>11</v>
      </c>
      <c r="D42" s="7">
        <f t="shared" si="0"/>
        <v>264</v>
      </c>
      <c r="E42" s="12">
        <v>1.2087000000000001</v>
      </c>
      <c r="F42" s="12">
        <v>4.4078793650000003</v>
      </c>
      <c r="G42" s="12">
        <v>0.77266666699999997</v>
      </c>
      <c r="H42" s="13">
        <f t="shared" si="1"/>
        <v>11.191666666666666</v>
      </c>
      <c r="I42" s="16">
        <f t="shared" si="2"/>
        <v>4.2392676767676767E-2</v>
      </c>
      <c r="J42" s="19">
        <f t="shared" si="3"/>
        <v>5.9061063011363636E-2</v>
      </c>
      <c r="K42" s="22">
        <f t="shared" si="4"/>
        <v>0.71777707014044445</v>
      </c>
      <c r="L42" s="25">
        <f t="shared" si="5"/>
        <v>0.77960603174999998</v>
      </c>
    </row>
    <row r="43" spans="2:12" x14ac:dyDescent="0.2">
      <c r="B43" s="11">
        <v>108</v>
      </c>
      <c r="C43" s="7">
        <v>13</v>
      </c>
      <c r="D43" s="7">
        <f t="shared" si="0"/>
        <v>312</v>
      </c>
      <c r="E43" s="12">
        <v>1.5710999999999999</v>
      </c>
      <c r="F43" s="12">
        <v>2.7325809520000002</v>
      </c>
      <c r="G43" s="12">
        <v>0.47899999999999998</v>
      </c>
      <c r="H43" s="13">
        <f t="shared" si="1"/>
        <v>14.547222222222221</v>
      </c>
      <c r="I43" s="16">
        <f t="shared" si="2"/>
        <v>4.6625712250712249E-2</v>
      </c>
      <c r="J43" s="19">
        <f t="shared" si="3"/>
        <v>5.5344291820512821E-2</v>
      </c>
      <c r="K43" s="22">
        <f t="shared" si="4"/>
        <v>0.84246650769196185</v>
      </c>
      <c r="L43" s="25">
        <f t="shared" si="5"/>
        <v>0.86337095240000006</v>
      </c>
    </row>
    <row r="44" spans="2:12" x14ac:dyDescent="0.2">
      <c r="B44" s="14">
        <v>108</v>
      </c>
      <c r="C44" s="2">
        <v>14</v>
      </c>
      <c r="D44" s="2">
        <f t="shared" si="0"/>
        <v>336</v>
      </c>
      <c r="E44" s="3">
        <v>1.5668</v>
      </c>
      <c r="F44" s="3">
        <v>1.7855904760000001</v>
      </c>
      <c r="G44" s="3">
        <v>0.313</v>
      </c>
      <c r="H44" s="4">
        <f t="shared" si="1"/>
        <v>14.507407407407406</v>
      </c>
      <c r="I44" s="17">
        <f t="shared" si="2"/>
        <v>4.3176807760141087E-2</v>
      </c>
      <c r="J44" s="20">
        <f t="shared" si="3"/>
        <v>5.4209552154761906E-2</v>
      </c>
      <c r="K44" s="23">
        <f t="shared" si="4"/>
        <v>0.79647969857556422</v>
      </c>
      <c r="L44" s="26">
        <f t="shared" si="5"/>
        <v>0.91072047620000007</v>
      </c>
    </row>
    <row r="45" spans="2:12" x14ac:dyDescent="0.2">
      <c r="B45" s="11">
        <v>126</v>
      </c>
      <c r="C45" s="7">
        <v>7</v>
      </c>
      <c r="D45" s="6">
        <f>C45*24</f>
        <v>168</v>
      </c>
      <c r="E45" s="12">
        <v>0.28939999999999999</v>
      </c>
      <c r="F45" s="12">
        <v>8.9526730160000003</v>
      </c>
      <c r="G45" s="12">
        <v>1.5693333330000001</v>
      </c>
      <c r="H45" s="13">
        <f t="shared" si="1"/>
        <v>2.2968253968253967</v>
      </c>
      <c r="I45" s="16">
        <f>H45/D45</f>
        <v>1.3671579743008314E-2</v>
      </c>
      <c r="J45" s="19">
        <f>(20-F45)/D45</f>
        <v>6.5757898714285709E-2</v>
      </c>
      <c r="K45" s="22">
        <f>H45/(20-F45)</f>
        <v>0.20790779526594275</v>
      </c>
      <c r="L45" s="25">
        <f>(20-F45)/20</f>
        <v>0.55236634919999994</v>
      </c>
    </row>
    <row r="46" spans="2:12" x14ac:dyDescent="0.2">
      <c r="B46" s="11">
        <v>126</v>
      </c>
      <c r="C46" s="7">
        <v>8</v>
      </c>
      <c r="D46" s="7">
        <f t="shared" si="0"/>
        <v>192</v>
      </c>
      <c r="E46" s="12">
        <v>0.41</v>
      </c>
      <c r="F46" s="12">
        <v>6.0698666670000003</v>
      </c>
      <c r="G46" s="12">
        <v>1.0640000000000001</v>
      </c>
      <c r="H46" s="13">
        <f t="shared" si="1"/>
        <v>3.253968253968254</v>
      </c>
      <c r="I46" s="16">
        <f t="shared" si="2"/>
        <v>1.6947751322751323E-2</v>
      </c>
      <c r="J46" s="19">
        <f t="shared" si="3"/>
        <v>7.2552777776041674E-2</v>
      </c>
      <c r="K46" s="22">
        <f t="shared" si="4"/>
        <v>0.23359203937120376</v>
      </c>
      <c r="L46" s="25">
        <f t="shared" si="5"/>
        <v>0.69650666665000005</v>
      </c>
    </row>
    <row r="47" spans="2:12" x14ac:dyDescent="0.2">
      <c r="B47" s="11">
        <v>126</v>
      </c>
      <c r="C47" s="7">
        <v>9</v>
      </c>
      <c r="D47" s="7">
        <f t="shared" si="0"/>
        <v>216</v>
      </c>
      <c r="E47" s="12">
        <v>0.88300000000000001</v>
      </c>
      <c r="F47" s="12">
        <v>5.7808253970000001</v>
      </c>
      <c r="G47" s="12">
        <v>1.0133333330000001</v>
      </c>
      <c r="H47" s="13">
        <f t="shared" si="1"/>
        <v>7.0079365079365079</v>
      </c>
      <c r="I47" s="16">
        <f t="shared" si="2"/>
        <v>3.2444150499706052E-2</v>
      </c>
      <c r="J47" s="19">
        <f t="shared" si="3"/>
        <v>6.5829512050925923E-2</v>
      </c>
      <c r="K47" s="22">
        <f t="shared" si="4"/>
        <v>0.4928511466803393</v>
      </c>
      <c r="L47" s="25">
        <f t="shared" si="5"/>
        <v>0.71095873015</v>
      </c>
    </row>
    <row r="48" spans="2:12" x14ac:dyDescent="0.2">
      <c r="B48" s="11">
        <v>126</v>
      </c>
      <c r="C48" s="7">
        <v>10</v>
      </c>
      <c r="D48" s="7">
        <f t="shared" si="0"/>
        <v>240</v>
      </c>
      <c r="E48" s="12">
        <v>1.2733000000000001</v>
      </c>
      <c r="F48" s="12">
        <v>5.7713174599999997</v>
      </c>
      <c r="G48" s="12">
        <v>1.0116666670000001</v>
      </c>
      <c r="H48" s="13">
        <f t="shared" si="1"/>
        <v>10.105555555555558</v>
      </c>
      <c r="I48" s="16">
        <f t="shared" si="2"/>
        <v>4.2106481481481488E-2</v>
      </c>
      <c r="J48" s="19">
        <f t="shared" si="3"/>
        <v>5.9286177250000002E-2</v>
      </c>
      <c r="K48" s="22">
        <f t="shared" si="4"/>
        <v>0.7102242619544421</v>
      </c>
      <c r="L48" s="25">
        <f t="shared" si="5"/>
        <v>0.71143412700000008</v>
      </c>
    </row>
    <row r="49" spans="2:12" x14ac:dyDescent="0.2">
      <c r="B49" s="11">
        <v>126</v>
      </c>
      <c r="C49" s="7">
        <v>11</v>
      </c>
      <c r="D49" s="7">
        <f t="shared" si="0"/>
        <v>264</v>
      </c>
      <c r="E49" s="12">
        <v>1.1454</v>
      </c>
      <c r="F49" s="12">
        <v>4.8737682539999998</v>
      </c>
      <c r="G49" s="12">
        <v>0.85433333300000003</v>
      </c>
      <c r="H49" s="13">
        <f t="shared" si="1"/>
        <v>9.0904761904761902</v>
      </c>
      <c r="I49" s="16">
        <f t="shared" si="2"/>
        <v>3.4433621933621934E-2</v>
      </c>
      <c r="J49" s="19">
        <f t="shared" si="3"/>
        <v>5.7296332371212122E-2</v>
      </c>
      <c r="K49" s="22">
        <f t="shared" si="4"/>
        <v>0.60097427721085173</v>
      </c>
      <c r="L49" s="25">
        <f t="shared" si="5"/>
        <v>0.75631158730000003</v>
      </c>
    </row>
    <row r="50" spans="2:12" x14ac:dyDescent="0.2">
      <c r="B50" s="11">
        <v>126</v>
      </c>
      <c r="C50" s="7">
        <v>13</v>
      </c>
      <c r="D50" s="7">
        <f t="shared" si="0"/>
        <v>312</v>
      </c>
      <c r="E50" s="12">
        <v>1.4633</v>
      </c>
      <c r="F50" s="12">
        <v>3.2802380950000001</v>
      </c>
      <c r="G50" s="12">
        <v>0.57499999999999996</v>
      </c>
      <c r="H50" s="13">
        <f t="shared" si="1"/>
        <v>11.613492063492064</v>
      </c>
      <c r="I50" s="16">
        <f t="shared" si="2"/>
        <v>3.7222730972730975E-2</v>
      </c>
      <c r="J50" s="19">
        <f t="shared" si="3"/>
        <v>5.3588980464743585E-2</v>
      </c>
      <c r="K50" s="22">
        <f t="shared" si="4"/>
        <v>0.69459673705156544</v>
      </c>
      <c r="L50" s="25">
        <f t="shared" si="5"/>
        <v>0.83598809524999995</v>
      </c>
    </row>
    <row r="51" spans="2:12" x14ac:dyDescent="0.2">
      <c r="B51" s="14">
        <v>126</v>
      </c>
      <c r="C51" s="2">
        <v>14</v>
      </c>
      <c r="D51" s="2">
        <f t="shared" si="0"/>
        <v>336</v>
      </c>
      <c r="E51" s="3">
        <v>1.6451</v>
      </c>
      <c r="F51" s="3">
        <v>3.4428238100000002</v>
      </c>
      <c r="G51" s="3">
        <v>0.60350000000000004</v>
      </c>
      <c r="H51" s="4">
        <f t="shared" si="1"/>
        <v>13.056349206349205</v>
      </c>
      <c r="I51" s="17">
        <f t="shared" si="2"/>
        <v>3.8858182161753588E-2</v>
      </c>
      <c r="J51" s="20">
        <f t="shared" si="3"/>
        <v>4.9277310089285715E-2</v>
      </c>
      <c r="K51" s="23">
        <f t="shared" si="4"/>
        <v>0.7885613498656141</v>
      </c>
      <c r="L51" s="26">
        <f t="shared" si="5"/>
        <v>0.82785880950000001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37537-BF1A-EC49-A129-71E296D8C807}">
  <dimension ref="A1:H28"/>
  <sheetViews>
    <sheetView zoomScale="101" workbookViewId="0">
      <selection activeCell="B27" sqref="B27"/>
    </sheetView>
  </sheetViews>
  <sheetFormatPr baseColWidth="10" defaultRowHeight="16" x14ac:dyDescent="0.2"/>
  <cols>
    <col min="1" max="16384" width="10.83203125" style="59"/>
  </cols>
  <sheetData>
    <row r="1" spans="1:8" x14ac:dyDescent="0.2">
      <c r="A1" s="61" t="s">
        <v>92</v>
      </c>
      <c r="B1" s="59" t="s">
        <v>84</v>
      </c>
      <c r="C1" s="59" t="s">
        <v>85</v>
      </c>
      <c r="D1" s="59" t="s">
        <v>86</v>
      </c>
      <c r="E1" s="59" t="s">
        <v>87</v>
      </c>
      <c r="F1" s="59" t="s">
        <v>88</v>
      </c>
      <c r="G1" s="59" t="s">
        <v>89</v>
      </c>
      <c r="H1" s="59" t="s">
        <v>90</v>
      </c>
    </row>
    <row r="2" spans="1:8" x14ac:dyDescent="0.2">
      <c r="A2" s="59">
        <v>5</v>
      </c>
      <c r="B2" s="59">
        <v>9</v>
      </c>
      <c r="C2" s="59">
        <v>984.5</v>
      </c>
      <c r="D2" s="59">
        <v>1221.8</v>
      </c>
      <c r="E2" s="59">
        <v>996.4</v>
      </c>
      <c r="F2" s="59">
        <f t="shared" ref="F2:F28" si="0">D2-C2</f>
        <v>237.29999999999995</v>
      </c>
      <c r="G2" s="59">
        <f t="shared" ref="G2:G28" si="1">E2-C2</f>
        <v>11.899999999999977</v>
      </c>
      <c r="H2" s="59">
        <f t="shared" ref="H2:H28" si="2">F2/G2</f>
        <v>19.941176470588271</v>
      </c>
    </row>
    <row r="3" spans="1:8" x14ac:dyDescent="0.2">
      <c r="A3" s="59">
        <v>5</v>
      </c>
      <c r="B3" s="59">
        <v>3</v>
      </c>
      <c r="C3" s="59">
        <v>987.3</v>
      </c>
      <c r="D3" s="59">
        <v>1295.5999999999999</v>
      </c>
      <c r="E3" s="59">
        <v>1004.2</v>
      </c>
      <c r="F3" s="59">
        <f t="shared" si="0"/>
        <v>308.29999999999995</v>
      </c>
      <c r="G3" s="59">
        <f t="shared" si="1"/>
        <v>16.900000000000091</v>
      </c>
      <c r="H3" s="59">
        <f t="shared" si="2"/>
        <v>18.242603550295758</v>
      </c>
    </row>
    <row r="4" spans="1:8" x14ac:dyDescent="0.2">
      <c r="A4" s="59">
        <v>5</v>
      </c>
      <c r="B4" s="59">
        <v>1</v>
      </c>
      <c r="C4" s="59">
        <v>982</v>
      </c>
      <c r="D4" s="59">
        <v>1390.2</v>
      </c>
      <c r="E4" s="59">
        <v>1003.3</v>
      </c>
      <c r="F4" s="59">
        <f t="shared" si="0"/>
        <v>408.20000000000005</v>
      </c>
      <c r="G4" s="59">
        <f t="shared" si="1"/>
        <v>21.299999999999955</v>
      </c>
      <c r="H4" s="59">
        <f t="shared" si="2"/>
        <v>19.164319248826335</v>
      </c>
    </row>
    <row r="5" spans="1:8" x14ac:dyDescent="0.2">
      <c r="A5" s="59">
        <v>5</v>
      </c>
      <c r="B5" s="59">
        <v>7</v>
      </c>
      <c r="C5" s="59">
        <v>987.3</v>
      </c>
      <c r="D5" s="59">
        <v>1420.1</v>
      </c>
      <c r="E5" s="59">
        <v>1005.2</v>
      </c>
      <c r="F5" s="59">
        <f t="shared" si="0"/>
        <v>432.79999999999995</v>
      </c>
      <c r="G5" s="59">
        <f t="shared" si="1"/>
        <v>17.900000000000091</v>
      </c>
      <c r="H5" s="61" t="s">
        <v>91</v>
      </c>
    </row>
    <row r="6" spans="1:8" x14ac:dyDescent="0.2">
      <c r="A6" s="59">
        <v>5</v>
      </c>
      <c r="B6" s="59">
        <v>6</v>
      </c>
      <c r="C6" s="59">
        <v>987</v>
      </c>
      <c r="D6" s="59">
        <v>1513.5</v>
      </c>
      <c r="E6" s="59">
        <v>1016</v>
      </c>
      <c r="F6" s="59">
        <f t="shared" si="0"/>
        <v>526.5</v>
      </c>
      <c r="G6" s="59">
        <f t="shared" si="1"/>
        <v>29</v>
      </c>
      <c r="H6" s="59">
        <f t="shared" si="2"/>
        <v>18.155172413793103</v>
      </c>
    </row>
    <row r="7" spans="1:8" x14ac:dyDescent="0.2">
      <c r="A7" s="59">
        <v>5</v>
      </c>
      <c r="B7" s="59">
        <v>5</v>
      </c>
      <c r="C7" s="59">
        <v>991</v>
      </c>
      <c r="D7" s="59">
        <v>1565.6</v>
      </c>
      <c r="E7" s="59">
        <v>1009.6</v>
      </c>
      <c r="F7" s="59">
        <f t="shared" si="0"/>
        <v>574.59999999999991</v>
      </c>
      <c r="G7" s="59">
        <f t="shared" si="1"/>
        <v>18.600000000000023</v>
      </c>
      <c r="H7" s="59">
        <f t="shared" si="2"/>
        <v>30.892473118279526</v>
      </c>
    </row>
    <row r="8" spans="1:8" x14ac:dyDescent="0.2">
      <c r="A8" s="59">
        <v>5</v>
      </c>
      <c r="B8" s="59">
        <v>4</v>
      </c>
      <c r="C8" s="59">
        <v>988.6</v>
      </c>
      <c r="D8" s="59">
        <v>1653.7</v>
      </c>
      <c r="E8" s="59">
        <v>1016</v>
      </c>
      <c r="F8" s="59">
        <f t="shared" si="0"/>
        <v>665.1</v>
      </c>
      <c r="G8" s="59">
        <f t="shared" si="1"/>
        <v>27.399999999999977</v>
      </c>
      <c r="H8" s="59">
        <f t="shared" si="2"/>
        <v>24.273722627737246</v>
      </c>
    </row>
    <row r="9" spans="1:8" x14ac:dyDescent="0.2">
      <c r="A9" s="59">
        <v>5</v>
      </c>
      <c r="B9" s="59">
        <v>2</v>
      </c>
      <c r="C9" s="59">
        <v>985.8</v>
      </c>
      <c r="D9" s="59">
        <v>1654.6</v>
      </c>
      <c r="E9" s="59">
        <v>1012.7</v>
      </c>
      <c r="F9" s="59">
        <f t="shared" si="0"/>
        <v>668.8</v>
      </c>
      <c r="G9" s="59">
        <f t="shared" si="1"/>
        <v>26.900000000000091</v>
      </c>
      <c r="H9" s="59">
        <f t="shared" si="2"/>
        <v>24.862453531598426</v>
      </c>
    </row>
    <row r="10" spans="1:8" x14ac:dyDescent="0.2">
      <c r="A10" s="59">
        <v>5</v>
      </c>
      <c r="B10" s="59">
        <v>8</v>
      </c>
      <c r="C10" s="59">
        <v>983</v>
      </c>
      <c r="D10" s="59">
        <v>1679.8</v>
      </c>
      <c r="E10" s="59">
        <v>1010.2</v>
      </c>
      <c r="F10" s="59">
        <f t="shared" si="0"/>
        <v>696.8</v>
      </c>
      <c r="G10" s="59">
        <f t="shared" si="1"/>
        <v>27.200000000000045</v>
      </c>
      <c r="H10" s="59">
        <f t="shared" si="2"/>
        <v>25.617647058823486</v>
      </c>
    </row>
    <row r="11" spans="1:8" x14ac:dyDescent="0.2">
      <c r="A11" s="59">
        <v>7</v>
      </c>
      <c r="B11" s="59">
        <v>9</v>
      </c>
      <c r="C11" s="59">
        <v>994.3</v>
      </c>
      <c r="D11" s="59">
        <v>1365.1</v>
      </c>
      <c r="E11" s="59">
        <v>1008.8</v>
      </c>
      <c r="F11" s="59">
        <f t="shared" si="0"/>
        <v>370.79999999999995</v>
      </c>
      <c r="G11" s="59">
        <f t="shared" si="1"/>
        <v>14.5</v>
      </c>
      <c r="H11" s="59">
        <f t="shared" si="2"/>
        <v>25.572413793103443</v>
      </c>
    </row>
    <row r="12" spans="1:8" x14ac:dyDescent="0.2">
      <c r="A12" s="59">
        <v>7</v>
      </c>
      <c r="B12" s="59">
        <v>3</v>
      </c>
      <c r="C12" s="59">
        <v>979.5</v>
      </c>
      <c r="D12" s="59">
        <v>1395.3</v>
      </c>
      <c r="E12" s="59">
        <v>1003</v>
      </c>
      <c r="F12" s="59">
        <f t="shared" si="0"/>
        <v>415.79999999999995</v>
      </c>
      <c r="G12" s="59">
        <f t="shared" si="1"/>
        <v>23.5</v>
      </c>
      <c r="H12" s="59">
        <f t="shared" si="2"/>
        <v>17.693617021276594</v>
      </c>
    </row>
    <row r="13" spans="1:8" x14ac:dyDescent="0.2">
      <c r="A13" s="59">
        <v>7</v>
      </c>
      <c r="B13" s="59">
        <v>1</v>
      </c>
      <c r="C13" s="59">
        <v>984.9</v>
      </c>
      <c r="D13" s="59">
        <v>1420.6</v>
      </c>
      <c r="E13" s="59">
        <v>1012.3</v>
      </c>
      <c r="F13" s="59">
        <f t="shared" si="0"/>
        <v>435.69999999999993</v>
      </c>
      <c r="G13" s="59">
        <f t="shared" si="1"/>
        <v>27.399999999999977</v>
      </c>
      <c r="H13" s="59">
        <f t="shared" si="2"/>
        <v>15.901459854014609</v>
      </c>
    </row>
    <row r="14" spans="1:8" x14ac:dyDescent="0.2">
      <c r="A14" s="59">
        <v>7</v>
      </c>
      <c r="B14" s="59">
        <v>7</v>
      </c>
      <c r="C14" s="59">
        <v>981.8</v>
      </c>
      <c r="D14" s="59">
        <v>1470.8</v>
      </c>
      <c r="E14" s="59">
        <v>1008.1</v>
      </c>
      <c r="F14" s="59">
        <f t="shared" si="0"/>
        <v>489</v>
      </c>
      <c r="G14" s="59">
        <f t="shared" si="1"/>
        <v>26.300000000000068</v>
      </c>
      <c r="H14" s="59">
        <f t="shared" si="2"/>
        <v>18.593155893536075</v>
      </c>
    </row>
    <row r="15" spans="1:8" x14ac:dyDescent="0.2">
      <c r="A15" s="59">
        <v>7</v>
      </c>
      <c r="B15" s="59">
        <v>2</v>
      </c>
      <c r="C15" s="59">
        <v>981.4</v>
      </c>
      <c r="D15" s="59">
        <v>1660.5</v>
      </c>
      <c r="E15" s="59">
        <v>1021</v>
      </c>
      <c r="F15" s="59">
        <f t="shared" si="0"/>
        <v>679.1</v>
      </c>
      <c r="G15" s="59">
        <f t="shared" si="1"/>
        <v>39.600000000000023</v>
      </c>
      <c r="H15" s="59">
        <f t="shared" si="2"/>
        <v>17.148989898989889</v>
      </c>
    </row>
    <row r="16" spans="1:8" x14ac:dyDescent="0.2">
      <c r="A16" s="59">
        <v>7</v>
      </c>
      <c r="B16" s="59">
        <v>8</v>
      </c>
      <c r="C16" s="59">
        <v>986.4</v>
      </c>
      <c r="D16" s="59">
        <v>1668.2</v>
      </c>
      <c r="E16" s="59">
        <v>1025.0999999999999</v>
      </c>
      <c r="F16" s="59">
        <f t="shared" si="0"/>
        <v>681.80000000000007</v>
      </c>
      <c r="G16" s="59">
        <f t="shared" si="1"/>
        <v>38.699999999999932</v>
      </c>
      <c r="H16" s="59">
        <f t="shared" si="2"/>
        <v>17.617571059431558</v>
      </c>
    </row>
    <row r="17" spans="1:8" x14ac:dyDescent="0.2">
      <c r="A17" s="59">
        <v>7</v>
      </c>
      <c r="B17" s="59">
        <v>5</v>
      </c>
      <c r="C17" s="59">
        <v>982.7</v>
      </c>
      <c r="D17" s="59">
        <v>1908.6</v>
      </c>
      <c r="E17" s="59">
        <v>1031.5999999999999</v>
      </c>
      <c r="F17" s="59">
        <f t="shared" si="0"/>
        <v>925.89999999999986</v>
      </c>
      <c r="G17" s="59">
        <f t="shared" si="1"/>
        <v>48.899999999999864</v>
      </c>
      <c r="H17" s="59">
        <f t="shared" si="2"/>
        <v>18.934560327198415</v>
      </c>
    </row>
    <row r="18" spans="1:8" x14ac:dyDescent="0.2">
      <c r="A18" s="59">
        <v>7</v>
      </c>
      <c r="B18" s="59">
        <v>4</v>
      </c>
      <c r="C18" s="59">
        <v>984</v>
      </c>
      <c r="D18" s="59">
        <v>1954.5</v>
      </c>
      <c r="E18" s="59">
        <v>1052.0999999999999</v>
      </c>
      <c r="F18" s="59">
        <f t="shared" si="0"/>
        <v>970.5</v>
      </c>
      <c r="G18" s="59">
        <f t="shared" si="1"/>
        <v>68.099999999999909</v>
      </c>
      <c r="H18" s="59">
        <f t="shared" si="2"/>
        <v>14.251101321585923</v>
      </c>
    </row>
    <row r="19" spans="1:8" x14ac:dyDescent="0.2">
      <c r="A19" s="59">
        <v>7</v>
      </c>
      <c r="B19" s="59">
        <v>6</v>
      </c>
      <c r="C19" s="59">
        <v>984.2</v>
      </c>
      <c r="D19" s="59">
        <v>2123.5</v>
      </c>
      <c r="E19" s="59">
        <v>1047.8</v>
      </c>
      <c r="F19" s="59">
        <f t="shared" si="0"/>
        <v>1139.3</v>
      </c>
      <c r="G19" s="59">
        <f t="shared" si="1"/>
        <v>63.599999999999909</v>
      </c>
      <c r="H19" s="59">
        <f t="shared" si="2"/>
        <v>17.913522012578643</v>
      </c>
    </row>
    <row r="20" spans="1:8" x14ac:dyDescent="0.2">
      <c r="A20" s="59">
        <v>10</v>
      </c>
      <c r="B20" s="59">
        <v>1</v>
      </c>
      <c r="C20" s="59">
        <v>980.8</v>
      </c>
      <c r="D20" s="59">
        <v>1656.5</v>
      </c>
      <c r="E20" s="59">
        <v>1025</v>
      </c>
      <c r="F20" s="59">
        <f t="shared" si="0"/>
        <v>675.7</v>
      </c>
      <c r="G20" s="59">
        <f t="shared" si="1"/>
        <v>44.200000000000045</v>
      </c>
      <c r="H20" s="59">
        <f t="shared" si="2"/>
        <v>15.287330316742066</v>
      </c>
    </row>
    <row r="21" spans="1:8" x14ac:dyDescent="0.2">
      <c r="A21" s="59">
        <v>10</v>
      </c>
      <c r="B21" s="59">
        <v>9</v>
      </c>
      <c r="C21" s="59">
        <v>989.1</v>
      </c>
      <c r="D21" s="59">
        <v>1695.5</v>
      </c>
      <c r="E21" s="59">
        <v>1029.8</v>
      </c>
      <c r="F21" s="59">
        <f t="shared" si="0"/>
        <v>706.4</v>
      </c>
      <c r="G21" s="59">
        <f t="shared" si="1"/>
        <v>40.699999999999932</v>
      </c>
      <c r="H21" s="59">
        <f t="shared" si="2"/>
        <v>17.356265356265386</v>
      </c>
    </row>
    <row r="22" spans="1:8" x14ac:dyDescent="0.2">
      <c r="A22" s="59">
        <v>10</v>
      </c>
      <c r="B22" s="59">
        <v>3</v>
      </c>
      <c r="C22" s="59">
        <v>983.1</v>
      </c>
      <c r="D22" s="59">
        <v>1745.7</v>
      </c>
      <c r="E22" s="59">
        <v>1027.0999999999999</v>
      </c>
      <c r="F22" s="59">
        <f t="shared" si="0"/>
        <v>762.6</v>
      </c>
      <c r="G22" s="59">
        <f t="shared" si="1"/>
        <v>43.999999999999886</v>
      </c>
      <c r="H22" s="59">
        <f t="shared" si="2"/>
        <v>17.331818181818228</v>
      </c>
    </row>
    <row r="23" spans="1:8" x14ac:dyDescent="0.2">
      <c r="A23" s="59">
        <v>10</v>
      </c>
      <c r="B23" s="59">
        <v>7</v>
      </c>
      <c r="C23" s="59">
        <v>981.7</v>
      </c>
      <c r="D23" s="59">
        <v>1834.6</v>
      </c>
      <c r="E23" s="59">
        <v>1035</v>
      </c>
      <c r="F23" s="59">
        <f t="shared" si="0"/>
        <v>852.89999999999986</v>
      </c>
      <c r="G23" s="59">
        <f t="shared" si="1"/>
        <v>53.299999999999955</v>
      </c>
      <c r="H23" s="59">
        <f t="shared" si="2"/>
        <v>16.00187617260789</v>
      </c>
    </row>
    <row r="24" spans="1:8" x14ac:dyDescent="0.2">
      <c r="A24" s="60">
        <v>10</v>
      </c>
      <c r="B24" s="60">
        <v>5</v>
      </c>
      <c r="C24" s="60">
        <v>987.3</v>
      </c>
      <c r="D24" s="60">
        <v>1945.3</v>
      </c>
      <c r="E24" s="60">
        <v>1034.9000000000001</v>
      </c>
      <c r="F24" s="60">
        <f t="shared" si="0"/>
        <v>958</v>
      </c>
      <c r="G24" s="60">
        <f t="shared" si="1"/>
        <v>47.600000000000136</v>
      </c>
      <c r="H24" s="60">
        <f t="shared" si="2"/>
        <v>20.12605042016801</v>
      </c>
    </row>
    <row r="25" spans="1:8" x14ac:dyDescent="0.2">
      <c r="A25" s="60">
        <v>10</v>
      </c>
      <c r="B25" s="60">
        <v>8</v>
      </c>
      <c r="C25" s="60">
        <v>982.7</v>
      </c>
      <c r="D25" s="60">
        <v>1947</v>
      </c>
      <c r="E25" s="60">
        <v>1063.9000000000001</v>
      </c>
      <c r="F25" s="60">
        <f t="shared" si="0"/>
        <v>964.3</v>
      </c>
      <c r="G25" s="60">
        <f t="shared" si="1"/>
        <v>81.200000000000045</v>
      </c>
      <c r="H25" s="60">
        <f t="shared" si="2"/>
        <v>11.87561576354679</v>
      </c>
    </row>
    <row r="26" spans="1:8" x14ac:dyDescent="0.2">
      <c r="A26" s="60">
        <v>10</v>
      </c>
      <c r="B26" s="60">
        <v>2</v>
      </c>
      <c r="C26" s="60">
        <v>982.5</v>
      </c>
      <c r="D26" s="60">
        <v>1991.9</v>
      </c>
      <c r="E26" s="60">
        <v>1046.7</v>
      </c>
      <c r="F26" s="60">
        <f t="shared" si="0"/>
        <v>1009.4000000000001</v>
      </c>
      <c r="G26" s="60">
        <f t="shared" si="1"/>
        <v>64.200000000000045</v>
      </c>
      <c r="H26" s="60">
        <f t="shared" si="2"/>
        <v>15.722741433021797</v>
      </c>
    </row>
    <row r="27" spans="1:8" x14ac:dyDescent="0.2">
      <c r="A27" s="60">
        <v>10</v>
      </c>
      <c r="B27" s="60">
        <v>6</v>
      </c>
      <c r="C27" s="60">
        <v>978.9</v>
      </c>
      <c r="D27" s="60">
        <v>2259.6</v>
      </c>
      <c r="E27" s="60">
        <v>1079.0999999999999</v>
      </c>
      <c r="F27" s="60">
        <f t="shared" si="0"/>
        <v>1280.6999999999998</v>
      </c>
      <c r="G27" s="60">
        <f t="shared" si="1"/>
        <v>100.19999999999993</v>
      </c>
      <c r="H27" s="60">
        <f t="shared" si="2"/>
        <v>12.781437125748511</v>
      </c>
    </row>
    <row r="28" spans="1:8" x14ac:dyDescent="0.2">
      <c r="A28" s="60">
        <v>10</v>
      </c>
      <c r="B28" s="60">
        <v>4</v>
      </c>
      <c r="C28" s="60">
        <v>987.4</v>
      </c>
      <c r="D28" s="60">
        <v>2307.6</v>
      </c>
      <c r="E28" s="60">
        <v>1094.9000000000001</v>
      </c>
      <c r="F28" s="60">
        <f t="shared" si="0"/>
        <v>1320.1999999999998</v>
      </c>
      <c r="G28" s="60">
        <f t="shared" si="1"/>
        <v>107.50000000000011</v>
      </c>
      <c r="H28" s="60">
        <f t="shared" si="2"/>
        <v>12.280930232558125</v>
      </c>
    </row>
  </sheetData>
  <autoFilter ref="A1:H28" xr:uid="{E1970880-FA73-4D44-9F76-C2129D79D79C}">
    <sortState xmlns:xlrd2="http://schemas.microsoft.com/office/spreadsheetml/2017/richdata2" ref="A2:H28">
      <sortCondition ref="A1:A28"/>
    </sortState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1C95-C22E-2246-8409-0B2FAC045427}">
  <dimension ref="A1:J35"/>
  <sheetViews>
    <sheetView workbookViewId="0">
      <selection activeCell="E7" sqref="E7"/>
    </sheetView>
  </sheetViews>
  <sheetFormatPr baseColWidth="10" defaultRowHeight="15" x14ac:dyDescent="0.2"/>
  <cols>
    <col min="1" max="1" width="23" bestFit="1" customWidth="1"/>
    <col min="2" max="2" width="12.1640625" bestFit="1" customWidth="1"/>
    <col min="4" max="4" width="16.5" customWidth="1"/>
    <col min="6" max="6" width="15.6640625" customWidth="1"/>
    <col min="7" max="7" width="14" bestFit="1" customWidth="1"/>
    <col min="8" max="8" width="13.5" bestFit="1" customWidth="1"/>
  </cols>
  <sheetData>
    <row r="1" spans="1:10" ht="16" x14ac:dyDescent="0.2">
      <c r="A1" s="42" t="s">
        <v>33</v>
      </c>
      <c r="D1" s="43" t="s">
        <v>34</v>
      </c>
    </row>
    <row r="2" spans="1:10" ht="16" x14ac:dyDescent="0.2">
      <c r="A2" t="s">
        <v>35</v>
      </c>
      <c r="B2" s="44">
        <v>79</v>
      </c>
      <c r="D2" t="s">
        <v>36</v>
      </c>
      <c r="E2">
        <f>B2/2/10^3</f>
        <v>3.95E-2</v>
      </c>
    </row>
    <row r="3" spans="1:10" ht="16" x14ac:dyDescent="0.2">
      <c r="A3" t="s">
        <v>37</v>
      </c>
      <c r="B3" s="44">
        <v>84.5</v>
      </c>
      <c r="D3" t="s">
        <v>38</v>
      </c>
      <c r="E3">
        <f>B3/2/10^3</f>
        <v>4.2250000000000003E-2</v>
      </c>
    </row>
    <row r="4" spans="1:10" ht="16" x14ac:dyDescent="0.2">
      <c r="A4" t="s">
        <v>25</v>
      </c>
      <c r="B4" s="44">
        <v>60</v>
      </c>
      <c r="D4" t="s">
        <v>39</v>
      </c>
      <c r="E4">
        <f>B4/10^3</f>
        <v>0.06</v>
      </c>
    </row>
    <row r="5" spans="1:10" x14ac:dyDescent="0.2">
      <c r="D5" t="s">
        <v>40</v>
      </c>
      <c r="E5">
        <f>(1/3)*PI()*E4*(E2^2+E3^2+E2*E3)</f>
        <v>3.1505069227443541E-4</v>
      </c>
    </row>
    <row r="6" spans="1:10" x14ac:dyDescent="0.2">
      <c r="D6" t="s">
        <v>4</v>
      </c>
      <c r="E6">
        <f>E5*10^6</f>
        <v>315.05069227443539</v>
      </c>
    </row>
    <row r="9" spans="1:10" ht="16" x14ac:dyDescent="0.2">
      <c r="A9" s="42" t="s">
        <v>41</v>
      </c>
      <c r="B9" t="s">
        <v>42</v>
      </c>
      <c r="C9" t="s">
        <v>43</v>
      </c>
      <c r="D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</row>
    <row r="10" spans="1:10" x14ac:dyDescent="0.2">
      <c r="A10" t="s">
        <v>49</v>
      </c>
      <c r="B10">
        <v>18</v>
      </c>
      <c r="C10" s="45">
        <v>0.36559999999999998</v>
      </c>
      <c r="D10" s="46">
        <f>ROUND(C10,2)</f>
        <v>0.37</v>
      </c>
      <c r="E10">
        <v>1</v>
      </c>
      <c r="F10">
        <f>$C$10*E10</f>
        <v>0.36559999999999998</v>
      </c>
      <c r="G10">
        <v>3.89</v>
      </c>
      <c r="H10">
        <f>G10/10</f>
        <v>0.38900000000000001</v>
      </c>
      <c r="I10">
        <f>H10-D10</f>
        <v>1.9000000000000017E-2</v>
      </c>
      <c r="J10" s="40">
        <f>I10*100/H10</f>
        <v>4.8843187660668423</v>
      </c>
    </row>
    <row r="11" spans="1:10" x14ac:dyDescent="0.2">
      <c r="B11">
        <f>B10+18</f>
        <v>36</v>
      </c>
      <c r="C11">
        <v>0.72819999999999996</v>
      </c>
      <c r="D11" s="46">
        <f t="shared" ref="D11:D18" si="0">ROUND(C11,2)</f>
        <v>0.73</v>
      </c>
      <c r="E11">
        <v>2</v>
      </c>
      <c r="F11">
        <f t="shared" ref="F11:F15" si="1">$C$10*E11</f>
        <v>0.73119999999999996</v>
      </c>
      <c r="G11">
        <v>7.36</v>
      </c>
      <c r="H11">
        <f t="shared" ref="H11:H16" si="2">G11/10</f>
        <v>0.73599999999999999</v>
      </c>
      <c r="I11">
        <f t="shared" ref="I11:I16" si="3">H11-D11</f>
        <v>6.0000000000000053E-3</v>
      </c>
      <c r="J11" s="40">
        <f t="shared" ref="J11:J16" si="4">I11*100/H11</f>
        <v>0.81521739130434856</v>
      </c>
    </row>
    <row r="12" spans="1:10" x14ac:dyDescent="0.2">
      <c r="B12">
        <f t="shared" ref="B12:B16" si="5">B11+18</f>
        <v>54</v>
      </c>
      <c r="C12">
        <v>1.0878000000000001</v>
      </c>
      <c r="D12" s="46">
        <f t="shared" si="0"/>
        <v>1.0900000000000001</v>
      </c>
      <c r="E12">
        <v>3</v>
      </c>
      <c r="F12">
        <f>$C$10*E12</f>
        <v>1.0968</v>
      </c>
      <c r="G12">
        <v>11.24</v>
      </c>
      <c r="H12">
        <f t="shared" si="2"/>
        <v>1.1240000000000001</v>
      </c>
      <c r="I12">
        <f t="shared" si="3"/>
        <v>3.400000000000003E-2</v>
      </c>
      <c r="J12" s="40">
        <f t="shared" si="4"/>
        <v>3.0249110320284722</v>
      </c>
    </row>
    <row r="13" spans="1:10" x14ac:dyDescent="0.2">
      <c r="B13">
        <f t="shared" si="5"/>
        <v>72</v>
      </c>
      <c r="C13">
        <v>1.4444999999999999</v>
      </c>
      <c r="D13" s="46">
        <f t="shared" si="0"/>
        <v>1.44</v>
      </c>
      <c r="E13">
        <v>4</v>
      </c>
      <c r="F13">
        <f t="shared" si="1"/>
        <v>1.4623999999999999</v>
      </c>
      <c r="G13">
        <v>14.62</v>
      </c>
      <c r="H13">
        <f t="shared" si="2"/>
        <v>1.462</v>
      </c>
      <c r="I13">
        <f t="shared" si="3"/>
        <v>2.200000000000002E-2</v>
      </c>
      <c r="J13" s="40">
        <f t="shared" si="4"/>
        <v>1.5047879616963078</v>
      </c>
    </row>
    <row r="14" spans="1:10" x14ac:dyDescent="0.2">
      <c r="B14">
        <f>B13+18</f>
        <v>90</v>
      </c>
      <c r="C14">
        <v>1.7983</v>
      </c>
      <c r="D14" s="46">
        <f t="shared" si="0"/>
        <v>1.8</v>
      </c>
      <c r="E14">
        <v>5</v>
      </c>
      <c r="F14">
        <f>$C$10*E14</f>
        <v>1.8279999999999998</v>
      </c>
      <c r="G14">
        <v>18.16</v>
      </c>
      <c r="H14">
        <f t="shared" si="2"/>
        <v>1.8160000000000001</v>
      </c>
      <c r="I14">
        <f t="shared" si="3"/>
        <v>1.6000000000000014E-2</v>
      </c>
      <c r="J14" s="40">
        <f t="shared" si="4"/>
        <v>0.8810572687224677</v>
      </c>
    </row>
    <row r="15" spans="1:10" x14ac:dyDescent="0.2">
      <c r="B15">
        <f t="shared" si="5"/>
        <v>108</v>
      </c>
      <c r="C15">
        <v>2.1492</v>
      </c>
      <c r="D15" s="46">
        <f t="shared" si="0"/>
        <v>2.15</v>
      </c>
      <c r="E15">
        <v>6</v>
      </c>
      <c r="F15">
        <f t="shared" si="1"/>
        <v>2.1936</v>
      </c>
      <c r="G15">
        <v>22.15</v>
      </c>
      <c r="H15">
        <f t="shared" si="2"/>
        <v>2.2149999999999999</v>
      </c>
      <c r="I15">
        <f t="shared" si="3"/>
        <v>6.4999999999999947E-2</v>
      </c>
      <c r="J15" s="40">
        <f t="shared" si="4"/>
        <v>2.934537246049659</v>
      </c>
    </row>
    <row r="16" spans="1:10" x14ac:dyDescent="0.2">
      <c r="B16">
        <f t="shared" si="5"/>
        <v>126</v>
      </c>
      <c r="C16">
        <v>2.4973999999999998</v>
      </c>
      <c r="D16" s="46">
        <f t="shared" si="0"/>
        <v>2.5</v>
      </c>
      <c r="E16">
        <v>7</v>
      </c>
      <c r="F16">
        <f>$C$10*E16</f>
        <v>2.5591999999999997</v>
      </c>
      <c r="G16">
        <v>25.75</v>
      </c>
      <c r="H16">
        <f t="shared" si="2"/>
        <v>2.5750000000000002</v>
      </c>
      <c r="I16">
        <f t="shared" si="3"/>
        <v>7.5000000000000178E-2</v>
      </c>
      <c r="J16" s="40">
        <f t="shared" si="4"/>
        <v>2.9126213592233077</v>
      </c>
    </row>
    <row r="18" spans="1:8" x14ac:dyDescent="0.2">
      <c r="A18" t="s">
        <v>73</v>
      </c>
      <c r="B18">
        <v>147</v>
      </c>
      <c r="C18">
        <v>2.9001999999999999</v>
      </c>
      <c r="D18" s="46">
        <f t="shared" si="0"/>
        <v>2.9</v>
      </c>
      <c r="E18" t="s">
        <v>74</v>
      </c>
      <c r="F18" s="51"/>
      <c r="G18" t="s">
        <v>75</v>
      </c>
      <c r="H18" t="s">
        <v>75</v>
      </c>
    </row>
    <row r="21" spans="1:8" ht="16" x14ac:dyDescent="0.2">
      <c r="A21" s="43" t="s">
        <v>50</v>
      </c>
    </row>
    <row r="22" spans="1:8" ht="16" x14ac:dyDescent="0.2">
      <c r="A22" t="s">
        <v>26</v>
      </c>
      <c r="B22" s="47">
        <v>2.9001999999999999</v>
      </c>
    </row>
    <row r="23" spans="1:8" x14ac:dyDescent="0.2">
      <c r="A23" t="s">
        <v>51</v>
      </c>
      <c r="B23">
        <f>B22*10^-2</f>
        <v>2.9002E-2</v>
      </c>
    </row>
    <row r="24" spans="1:8" x14ac:dyDescent="0.2">
      <c r="A24" t="s">
        <v>52</v>
      </c>
      <c r="B24">
        <f>E2</f>
        <v>3.95E-2</v>
      </c>
    </row>
    <row r="25" spans="1:8" x14ac:dyDescent="0.2">
      <c r="A25" t="s">
        <v>53</v>
      </c>
      <c r="B25">
        <f>E3</f>
        <v>4.2250000000000003E-2</v>
      </c>
    </row>
    <row r="26" spans="1:8" x14ac:dyDescent="0.2">
      <c r="A26" t="s">
        <v>54</v>
      </c>
      <c r="B26">
        <f>E4</f>
        <v>0.06</v>
      </c>
    </row>
    <row r="27" spans="1:8" x14ac:dyDescent="0.2">
      <c r="A27" t="s">
        <v>55</v>
      </c>
      <c r="B27">
        <f>B24+(B25-B24)/B26*B23</f>
        <v>4.0829258333333333E-2</v>
      </c>
    </row>
    <row r="28" spans="1:8" x14ac:dyDescent="0.2">
      <c r="A28" t="s">
        <v>56</v>
      </c>
      <c r="B28">
        <f>PI()*B32/3*(B33^2+B33*B27+B27^2)</f>
        <v>1.4699581898766032E-4</v>
      </c>
    </row>
    <row r="30" spans="1:8" ht="16" x14ac:dyDescent="0.2">
      <c r="A30" s="43" t="s">
        <v>57</v>
      </c>
    </row>
    <row r="31" spans="1:8" ht="16" x14ac:dyDescent="0.2">
      <c r="A31" t="s">
        <v>26</v>
      </c>
      <c r="B31" s="47">
        <v>2.9001999999999999</v>
      </c>
    </row>
    <row r="32" spans="1:8" x14ac:dyDescent="0.2">
      <c r="A32" t="s">
        <v>51</v>
      </c>
      <c r="B32">
        <f>B31*10^-2</f>
        <v>2.9002E-2</v>
      </c>
    </row>
    <row r="33" spans="1:2" x14ac:dyDescent="0.2">
      <c r="A33" t="s">
        <v>52</v>
      </c>
      <c r="B33">
        <f>E2</f>
        <v>3.95E-2</v>
      </c>
    </row>
    <row r="34" spans="1:2" x14ac:dyDescent="0.2">
      <c r="A34" t="s">
        <v>56</v>
      </c>
      <c r="B34">
        <f>PI()*B32/3*(B33^2+B33*(B33+(E3-B33)/E4*B32) + (B33+(E3-B33)/E4*B32)^2)</f>
        <v>1.4699581898766032E-4</v>
      </c>
    </row>
    <row r="35" spans="1:2" x14ac:dyDescent="0.2">
      <c r="A35" t="s">
        <v>58</v>
      </c>
      <c r="B35">
        <f>ROUND(B34*10^6, 2)</f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32E4-D5E1-714D-8C8D-B6DCB61E6316}">
  <dimension ref="A1:Q21"/>
  <sheetViews>
    <sheetView topLeftCell="H1" zoomScale="111" workbookViewId="0">
      <selection activeCell="N26" sqref="N26"/>
    </sheetView>
  </sheetViews>
  <sheetFormatPr baseColWidth="10" defaultRowHeight="15" x14ac:dyDescent="0.2"/>
  <cols>
    <col min="1" max="1" width="22.6640625" customWidth="1"/>
    <col min="2" max="2" width="12.1640625" bestFit="1" customWidth="1"/>
    <col min="3" max="3" width="12.6640625" bestFit="1" customWidth="1"/>
    <col min="4" max="4" width="10.1640625" bestFit="1" customWidth="1"/>
    <col min="5" max="5" width="11.6640625" bestFit="1" customWidth="1"/>
    <col min="6" max="6" width="20" bestFit="1" customWidth="1"/>
    <col min="7" max="7" width="12.5" bestFit="1" customWidth="1"/>
    <col min="8" max="8" width="8.83203125" bestFit="1" customWidth="1"/>
    <col min="9" max="9" width="18" customWidth="1"/>
    <col min="10" max="10" width="16.33203125" bestFit="1" customWidth="1"/>
    <col min="11" max="11" width="28" bestFit="1" customWidth="1"/>
    <col min="12" max="12" width="29.1640625" bestFit="1" customWidth="1"/>
    <col min="13" max="13" width="24" customWidth="1"/>
    <col min="14" max="14" width="24.6640625" bestFit="1" customWidth="1"/>
    <col min="16" max="16" width="13.6640625" bestFit="1" customWidth="1"/>
  </cols>
  <sheetData>
    <row r="1" spans="1:17" x14ac:dyDescent="0.2">
      <c r="A1" s="50" t="s">
        <v>4</v>
      </c>
      <c r="B1" s="50" t="s">
        <v>62</v>
      </c>
      <c r="C1" s="50" t="s">
        <v>26</v>
      </c>
      <c r="D1" s="50" t="s">
        <v>63</v>
      </c>
      <c r="E1" s="50" t="s">
        <v>82</v>
      </c>
      <c r="F1" s="50" t="s">
        <v>76</v>
      </c>
      <c r="G1" s="50" t="s">
        <v>79</v>
      </c>
      <c r="H1" s="50" t="s">
        <v>110</v>
      </c>
      <c r="I1" s="68" t="s">
        <v>114</v>
      </c>
      <c r="J1" s="68" t="s">
        <v>108</v>
      </c>
      <c r="K1" s="68" t="s">
        <v>109</v>
      </c>
      <c r="L1" s="68" t="s">
        <v>113</v>
      </c>
      <c r="M1" s="68" t="s">
        <v>119</v>
      </c>
      <c r="N1" s="68" t="s">
        <v>116</v>
      </c>
      <c r="O1" s="68" t="s">
        <v>115</v>
      </c>
      <c r="P1" s="68" t="s">
        <v>118</v>
      </c>
      <c r="Q1" s="68" t="s">
        <v>117</v>
      </c>
    </row>
    <row r="2" spans="1:17" x14ac:dyDescent="0.2">
      <c r="A2" s="29">
        <v>18</v>
      </c>
      <c r="B2" s="29">
        <f>A2/1000</f>
        <v>1.7999999999999999E-2</v>
      </c>
      <c r="C2" s="29">
        <v>0.37</v>
      </c>
      <c r="D2" s="27">
        <v>3.9667566999999999</v>
      </c>
      <c r="E2" s="27">
        <f>D2^2*PI()</f>
        <v>49.43345902838054</v>
      </c>
      <c r="F2" s="29">
        <v>3.7</v>
      </c>
      <c r="G2" s="27">
        <v>0.53910000000000002</v>
      </c>
      <c r="H2" s="27">
        <f>E2/B2/1000</f>
        <v>2.7463032793544748</v>
      </c>
      <c r="I2">
        <f>$B$15*A2</f>
        <v>0.3276</v>
      </c>
      <c r="J2" s="70">
        <f>$B$15*A2/E2*10000</f>
        <v>66.270903642797805</v>
      </c>
      <c r="K2">
        <v>2.8</v>
      </c>
      <c r="L2" s="40">
        <v>3.0762037154050299</v>
      </c>
      <c r="M2" s="40">
        <f>$B$14-L2</f>
        <v>15.12379628459497</v>
      </c>
      <c r="N2" s="71">
        <f>L2/1000*A2</f>
        <v>5.5371666877290539E-2</v>
      </c>
      <c r="O2" s="71">
        <f>I2-N2</f>
        <v>0.27222833312270944</v>
      </c>
      <c r="P2">
        <f>J2/E2</f>
        <v>1.3406082630137337</v>
      </c>
      <c r="Q2">
        <f>(I2-O2)/E2*10000</f>
        <v>11.201252747759529</v>
      </c>
    </row>
    <row r="3" spans="1:17" x14ac:dyDescent="0.2">
      <c r="A3" s="29">
        <v>36</v>
      </c>
      <c r="B3" s="29">
        <f t="shared" ref="B3:B8" si="0">A3/1000</f>
        <v>3.5999999999999997E-2</v>
      </c>
      <c r="C3" s="29">
        <v>0.73</v>
      </c>
      <c r="D3" s="27">
        <v>3.9833757999999997</v>
      </c>
      <c r="E3" s="27">
        <f t="shared" ref="E3:E8" si="1">D3^2*PI()</f>
        <v>49.848538963894889</v>
      </c>
      <c r="F3" s="29">
        <v>5.5</v>
      </c>
      <c r="G3" s="27">
        <v>0.88549999999999995</v>
      </c>
      <c r="H3" s="27">
        <f t="shared" ref="H3:H8" si="2">E3/B3/1000</f>
        <v>1.3846816378859692</v>
      </c>
      <c r="I3">
        <f t="shared" ref="I3:I8" si="3">$B$15*A3</f>
        <v>0.6552</v>
      </c>
      <c r="J3" s="70">
        <f>$B$15*A3/E3*10000</f>
        <v>131.43815518335632</v>
      </c>
      <c r="K3">
        <v>5.5</v>
      </c>
      <c r="L3" s="40">
        <v>3.3630481486161998</v>
      </c>
      <c r="M3" s="40">
        <f t="shared" ref="M3:M8" si="4">$B$14-L3</f>
        <v>14.8369518513838</v>
      </c>
      <c r="N3" s="71">
        <f>L3/1000*A3</f>
        <v>0.12106973335018319</v>
      </c>
      <c r="O3" s="71">
        <f>I3-N3</f>
        <v>0.53413026664981678</v>
      </c>
      <c r="P3">
        <f>J3/E3</f>
        <v>2.6367504026257715</v>
      </c>
      <c r="Q3">
        <f>(I3-O3)/E3*10000</f>
        <v>24.287518925654688</v>
      </c>
    </row>
    <row r="4" spans="1:17" x14ac:dyDescent="0.2">
      <c r="A4" s="29">
        <v>54</v>
      </c>
      <c r="B4" s="29">
        <f t="shared" si="0"/>
        <v>5.3999999999999999E-2</v>
      </c>
      <c r="C4" s="29">
        <v>1.0900000000000001</v>
      </c>
      <c r="D4" s="27">
        <v>3.9998575000000001</v>
      </c>
      <c r="E4" s="27">
        <f t="shared" si="1"/>
        <v>50.26190110560556</v>
      </c>
      <c r="F4" s="29">
        <v>6.6</v>
      </c>
      <c r="G4" s="27">
        <v>1.1829000000000001</v>
      </c>
      <c r="H4" s="27">
        <f t="shared" si="2"/>
        <v>0.93077594640010297</v>
      </c>
      <c r="I4">
        <f t="shared" si="3"/>
        <v>0.98280000000000001</v>
      </c>
      <c r="J4" s="70">
        <f>$B$15*A4/E4*10000</f>
        <v>195.53577926450365</v>
      </c>
      <c r="K4">
        <v>8.1999999999999993</v>
      </c>
      <c r="L4" s="40">
        <v>5.5719954505244598</v>
      </c>
      <c r="M4" s="40">
        <f t="shared" si="4"/>
        <v>12.62800454947554</v>
      </c>
      <c r="N4" s="71">
        <f>L4/1000*A4</f>
        <v>0.30088775432832082</v>
      </c>
      <c r="O4" s="71">
        <f>I4-N4</f>
        <v>0.68191224567167918</v>
      </c>
      <c r="P4">
        <f>J4/E4</f>
        <v>3.8903379092975876</v>
      </c>
      <c r="Q4">
        <f>(I4-O4)/E4*10000</f>
        <v>59.863982004207102</v>
      </c>
    </row>
    <row r="5" spans="1:17" x14ac:dyDescent="0.2">
      <c r="A5" s="29">
        <v>72</v>
      </c>
      <c r="B5" s="29">
        <f t="shared" si="0"/>
        <v>7.1999999999999995E-2</v>
      </c>
      <c r="C5" s="29">
        <v>1.44</v>
      </c>
      <c r="D5" s="27">
        <v>4.0162062999999995</v>
      </c>
      <c r="E5" s="27">
        <f t="shared" si="1"/>
        <v>50.673616322574247</v>
      </c>
      <c r="F5" s="29">
        <v>7.5</v>
      </c>
      <c r="G5" s="27">
        <v>1.3512</v>
      </c>
      <c r="H5" s="27">
        <f t="shared" si="2"/>
        <v>0.70380022670242015</v>
      </c>
      <c r="I5">
        <f t="shared" si="3"/>
        <v>1.3104</v>
      </c>
      <c r="J5" s="70">
        <f>$B$15*A5/E5*10000</f>
        <v>258.59610880312067</v>
      </c>
      <c r="K5">
        <v>10.9</v>
      </c>
      <c r="L5" s="40">
        <v>7.0062176165803098</v>
      </c>
      <c r="M5" s="40">
        <f t="shared" si="4"/>
        <v>11.193782383419689</v>
      </c>
      <c r="N5" s="71">
        <f>L5/1000*A5</f>
        <v>0.5044476683937823</v>
      </c>
      <c r="O5" s="71">
        <f>I5-N5</f>
        <v>0.80595233160621771</v>
      </c>
      <c r="P5">
        <f>J5/E5</f>
        <v>5.1031705958574038</v>
      </c>
      <c r="Q5">
        <f>(I5-O5)/E5*10000</f>
        <v>99.548385333821017</v>
      </c>
    </row>
    <row r="6" spans="1:17" x14ac:dyDescent="0.2">
      <c r="A6" s="29">
        <v>90</v>
      </c>
      <c r="B6" s="29">
        <f t="shared" si="0"/>
        <v>0.09</v>
      </c>
      <c r="C6" s="29">
        <v>1.8</v>
      </c>
      <c r="D6" s="27">
        <v>4.0324220999999998</v>
      </c>
      <c r="E6" s="27">
        <f t="shared" si="1"/>
        <v>51.083641125678746</v>
      </c>
      <c r="F6" s="29">
        <v>8.1</v>
      </c>
      <c r="G6" s="27">
        <v>1.5801000000000001</v>
      </c>
      <c r="H6" s="27">
        <f t="shared" si="2"/>
        <v>0.56759601250754166</v>
      </c>
      <c r="I6">
        <f t="shared" si="3"/>
        <v>1.6380000000000001</v>
      </c>
      <c r="J6" s="70">
        <f>$B$15*A6/E6*10000</f>
        <v>320.65059653247971</v>
      </c>
      <c r="K6">
        <v>13.5</v>
      </c>
      <c r="L6" s="40">
        <v>9.4358144824971593</v>
      </c>
      <c r="M6" s="40">
        <f>$B$14-L6</f>
        <v>8.76418551750284</v>
      </c>
      <c r="N6" s="71">
        <f>L6/1000*A6</f>
        <v>0.84922330342474428</v>
      </c>
      <c r="O6" s="71">
        <f>I6-N6</f>
        <v>0.78877669657525584</v>
      </c>
      <c r="P6">
        <f>J6/E6</f>
        <v>6.2769722256797964</v>
      </c>
      <c r="Q6">
        <f>(I6-O6)/E6*10000</f>
        <v>166.24173310892994</v>
      </c>
    </row>
    <row r="7" spans="1:17" x14ac:dyDescent="0.2">
      <c r="A7" s="29">
        <v>108</v>
      </c>
      <c r="B7" s="29">
        <f t="shared" si="0"/>
        <v>0.108</v>
      </c>
      <c r="C7" s="29">
        <v>2.15</v>
      </c>
      <c r="D7" s="27">
        <v>4.0485050000000005</v>
      </c>
      <c r="E7" s="27">
        <f t="shared" si="1"/>
        <v>51.491937405806063</v>
      </c>
      <c r="F7" s="29">
        <v>9.1</v>
      </c>
      <c r="G7" s="27">
        <v>1.5668</v>
      </c>
      <c r="H7" s="27">
        <f t="shared" si="2"/>
        <v>0.476777198201908</v>
      </c>
      <c r="I7">
        <f t="shared" si="3"/>
        <v>1.9656</v>
      </c>
      <c r="J7" s="70">
        <f>$B$15*A7/E7*10000</f>
        <v>381.72966468695455</v>
      </c>
      <c r="K7">
        <v>16.100000000000001</v>
      </c>
      <c r="L7" s="40">
        <v>8.1070137748009596</v>
      </c>
      <c r="M7" s="40">
        <f t="shared" si="4"/>
        <v>10.09298622519904</v>
      </c>
      <c r="N7" s="71">
        <f>L7/1000*A7</f>
        <v>0.87555748767850361</v>
      </c>
      <c r="O7" s="71">
        <f>I7-N7</f>
        <v>1.0900425123214963</v>
      </c>
      <c r="P7">
        <f>J7/E7</f>
        <v>7.4133871032771035</v>
      </c>
      <c r="Q7">
        <f>(I7-O7)/E7*10000</f>
        <v>170.03778295974132</v>
      </c>
    </row>
    <row r="8" spans="1:17" x14ac:dyDescent="0.2">
      <c r="A8" s="29">
        <v>126</v>
      </c>
      <c r="B8" s="29">
        <f t="shared" si="0"/>
        <v>0.126</v>
      </c>
      <c r="C8" s="29">
        <v>2.5</v>
      </c>
      <c r="D8" s="27">
        <v>4.0644641999999997</v>
      </c>
      <c r="E8" s="27">
        <f t="shared" si="1"/>
        <v>51.898699820913329</v>
      </c>
      <c r="F8" s="29">
        <v>8.5</v>
      </c>
      <c r="G8" s="27">
        <v>1.6451</v>
      </c>
      <c r="H8" s="27">
        <f t="shared" si="2"/>
        <v>0.41189444302312167</v>
      </c>
      <c r="I8">
        <f t="shared" si="3"/>
        <v>2.2932000000000001</v>
      </c>
      <c r="J8" s="70">
        <f>$B$15*A8/E8*10000</f>
        <v>441.86078031109406</v>
      </c>
      <c r="K8">
        <v>18.600000000000001</v>
      </c>
      <c r="L8" s="40">
        <v>11.4167572349299</v>
      </c>
      <c r="M8" s="40">
        <f t="shared" si="4"/>
        <v>6.7832427650700993</v>
      </c>
      <c r="N8" s="71">
        <f>L8/1000*A8</f>
        <v>1.4385114116011675</v>
      </c>
      <c r="O8" s="71">
        <f>I8-N8</f>
        <v>0.85468858839883266</v>
      </c>
      <c r="P8">
        <f>J8/E8</f>
        <v>8.5139084762397044</v>
      </c>
      <c r="Q8">
        <f>(I8-O8)/E8*10000</f>
        <v>277.17677255211288</v>
      </c>
    </row>
    <row r="10" spans="1:17" x14ac:dyDescent="0.2">
      <c r="A10" t="s">
        <v>72</v>
      </c>
    </row>
    <row r="11" spans="1:17" x14ac:dyDescent="0.2">
      <c r="A11">
        <v>147</v>
      </c>
      <c r="B11" s="29">
        <f t="shared" ref="B11" si="5">A11/1000</f>
        <v>0.14699999999999999</v>
      </c>
      <c r="C11">
        <v>2.9</v>
      </c>
      <c r="D11">
        <v>4.0829257999999999</v>
      </c>
      <c r="H11" s="27">
        <f>D11^2*PI()/B11/1000</f>
        <v>0.35626693118015756</v>
      </c>
      <c r="I11">
        <f>20/1000*A11/(D11^2*PI())</f>
        <v>5.6137682870954907E-2</v>
      </c>
      <c r="L11" s="72">
        <f>L8/L2</f>
        <v>3.7113137786541901</v>
      </c>
      <c r="N11" s="72">
        <f>O8/O2</f>
        <v>3.139601887117216</v>
      </c>
      <c r="P11" s="72">
        <f>Q8/Q2</f>
        <v>24.745158313435404</v>
      </c>
    </row>
    <row r="14" spans="1:17" x14ac:dyDescent="0.2">
      <c r="A14" t="s">
        <v>111</v>
      </c>
      <c r="B14">
        <v>18.2</v>
      </c>
    </row>
    <row r="15" spans="1:17" x14ac:dyDescent="0.2">
      <c r="A15" t="s">
        <v>112</v>
      </c>
      <c r="B15">
        <f>B14/1000</f>
        <v>1.8200000000000001E-2</v>
      </c>
    </row>
    <row r="17" spans="1:13" x14ac:dyDescent="0.2">
      <c r="A17" t="s">
        <v>77</v>
      </c>
      <c r="B17" t="s">
        <v>80</v>
      </c>
      <c r="C17" t="s">
        <v>81</v>
      </c>
    </row>
    <row r="18" spans="1:13" x14ac:dyDescent="0.2">
      <c r="A18" t="s">
        <v>27</v>
      </c>
      <c r="B18">
        <f>CORREL($F$2:$F$8,B$2:B$8)</f>
        <v>0.94324221828379873</v>
      </c>
      <c r="C18">
        <f>CORREL($G$2:$G$8,B$2:B$8)</f>
        <v>0.95089849625325484</v>
      </c>
      <c r="F18" s="67"/>
      <c r="G18" s="67"/>
      <c r="H18" s="67"/>
      <c r="I18" s="67"/>
      <c r="J18" s="67"/>
      <c r="K18" s="67"/>
      <c r="L18" s="67"/>
      <c r="M18" s="67"/>
    </row>
    <row r="19" spans="1:13" x14ac:dyDescent="0.2">
      <c r="A19" t="s">
        <v>25</v>
      </c>
      <c r="B19">
        <f>CORREL($F$2:$F$8,C$2:C$8)</f>
        <v>0.94466661446776867</v>
      </c>
      <c r="C19">
        <f>CORREL($G$2:$G$8,C$2:C$8)</f>
        <v>0.95241161337984548</v>
      </c>
    </row>
    <row r="20" spans="1:13" x14ac:dyDescent="0.2">
      <c r="A20" t="s">
        <v>78</v>
      </c>
      <c r="B20">
        <f>CORREL($F$2:$F$8,H$2:H$8)</f>
        <v>-0.95269997016254893</v>
      </c>
      <c r="C20">
        <f>CORREL($G$2:$G$8,H$2:H$8)</f>
        <v>-0.95445234384988298</v>
      </c>
    </row>
    <row r="21" spans="1:13" x14ac:dyDescent="0.2">
      <c r="A21" t="s">
        <v>66</v>
      </c>
      <c r="B21">
        <f>CORREL($F$2:$F$8,J$2:J$8)</f>
        <v>0.94744701723733082</v>
      </c>
      <c r="C21">
        <f>CORREL($G$2:$G$8,J$2:J$8)</f>
        <v>0.95498452559892066</v>
      </c>
      <c r="F21" s="6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8CC3-D053-C844-8550-FA2FBB3EFF7F}">
  <dimension ref="A1:S34"/>
  <sheetViews>
    <sheetView zoomScale="75" workbookViewId="0">
      <selection activeCell="D15" sqref="D15"/>
    </sheetView>
  </sheetViews>
  <sheetFormatPr baseColWidth="10" defaultColWidth="8.6640625" defaultRowHeight="15" x14ac:dyDescent="0.2"/>
  <cols>
    <col min="1" max="1" width="30" customWidth="1"/>
    <col min="2" max="2" width="12" customWidth="1"/>
    <col min="3" max="4" width="11" customWidth="1"/>
    <col min="5" max="5" width="12" customWidth="1"/>
    <col min="6" max="6" width="11" customWidth="1"/>
    <col min="7" max="9" width="12" customWidth="1"/>
    <col min="10" max="10" width="11" customWidth="1"/>
    <col min="11" max="11" width="13" customWidth="1"/>
    <col min="12" max="12" width="12" customWidth="1"/>
    <col min="13" max="14" width="13" customWidth="1"/>
    <col min="15" max="16" width="11" customWidth="1"/>
    <col min="17" max="18" width="10" customWidth="1"/>
    <col min="19" max="19" width="14" customWidth="1"/>
  </cols>
  <sheetData>
    <row r="1" spans="1:19" x14ac:dyDescent="0.2">
      <c r="A1" s="90" t="s">
        <v>160</v>
      </c>
    </row>
    <row r="2" spans="1:19" x14ac:dyDescent="0.2">
      <c r="A2" s="91" t="s">
        <v>161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</row>
    <row r="4" spans="1:19" x14ac:dyDescent="0.2">
      <c r="A4" s="92" t="s">
        <v>162</v>
      </c>
    </row>
    <row r="5" spans="1:19" x14ac:dyDescent="0.2">
      <c r="A5" s="93" t="s">
        <v>163</v>
      </c>
      <c r="B5" s="93" t="s">
        <v>164</v>
      </c>
      <c r="C5" s="93" t="s">
        <v>165</v>
      </c>
      <c r="D5" s="93" t="s">
        <v>166</v>
      </c>
      <c r="E5" s="93" t="s">
        <v>167</v>
      </c>
    </row>
    <row r="6" spans="1:19" ht="39" x14ac:dyDescent="0.2">
      <c r="A6" s="94" t="s">
        <v>168</v>
      </c>
      <c r="B6" s="94" t="s">
        <v>169</v>
      </c>
      <c r="C6" s="95">
        <v>20</v>
      </c>
      <c r="D6" s="94" t="s">
        <v>170</v>
      </c>
      <c r="E6" s="96" t="s">
        <v>171</v>
      </c>
    </row>
    <row r="7" spans="1:19" x14ac:dyDescent="0.2">
      <c r="A7" s="94" t="s">
        <v>172</v>
      </c>
      <c r="B7" s="94" t="s">
        <v>173</v>
      </c>
      <c r="C7" s="95">
        <v>180.15600000000001</v>
      </c>
      <c r="D7" s="94" t="s">
        <v>174</v>
      </c>
      <c r="E7" s="96" t="s">
        <v>175</v>
      </c>
    </row>
    <row r="8" spans="1:19" x14ac:dyDescent="0.2">
      <c r="A8" s="94" t="s">
        <v>176</v>
      </c>
      <c r="B8" s="94" t="s">
        <v>177</v>
      </c>
      <c r="C8" s="95">
        <v>198.17</v>
      </c>
      <c r="D8" s="94" t="s">
        <v>174</v>
      </c>
      <c r="E8" s="96" t="s">
        <v>178</v>
      </c>
    </row>
    <row r="9" spans="1:19" ht="78" x14ac:dyDescent="0.2">
      <c r="A9" s="94" t="s">
        <v>179</v>
      </c>
      <c r="B9" s="94" t="s">
        <v>180</v>
      </c>
      <c r="C9" s="97">
        <f>C6*C7/C8</f>
        <v>18.181964979563002</v>
      </c>
      <c r="D9" s="94" t="s">
        <v>170</v>
      </c>
      <c r="E9" s="96" t="s">
        <v>181</v>
      </c>
    </row>
    <row r="10" spans="1:19" x14ac:dyDescent="0.2">
      <c r="A10" s="94" t="s">
        <v>182</v>
      </c>
      <c r="B10" s="94" t="s">
        <v>183</v>
      </c>
      <c r="C10" s="95">
        <v>7</v>
      </c>
      <c r="D10" s="94" t="s">
        <v>184</v>
      </c>
      <c r="E10" s="96" t="s">
        <v>185</v>
      </c>
    </row>
    <row r="11" spans="1:19" x14ac:dyDescent="0.2">
      <c r="A11" s="94" t="s">
        <v>186</v>
      </c>
      <c r="B11" s="94" t="s">
        <v>187</v>
      </c>
      <c r="C11" s="95">
        <v>14</v>
      </c>
      <c r="D11" s="94" t="s">
        <v>184</v>
      </c>
      <c r="E11" s="96" t="s">
        <v>185</v>
      </c>
    </row>
    <row r="12" spans="1:19" ht="78" x14ac:dyDescent="0.2">
      <c r="A12" s="94" t="s">
        <v>188</v>
      </c>
      <c r="B12" s="94" t="s">
        <v>189</v>
      </c>
      <c r="C12" s="98">
        <v>0.98799999999999999</v>
      </c>
      <c r="D12" s="94" t="s">
        <v>190</v>
      </c>
      <c r="E12" s="96" t="s">
        <v>191</v>
      </c>
    </row>
    <row r="13" spans="1:19" ht="91" x14ac:dyDescent="0.2">
      <c r="A13" s="94" t="s">
        <v>192</v>
      </c>
      <c r="B13" s="94" t="s">
        <v>193</v>
      </c>
      <c r="C13" s="99">
        <v>5.4699999999999999E-2</v>
      </c>
      <c r="D13" s="94" t="s">
        <v>194</v>
      </c>
      <c r="E13" s="96" t="s">
        <v>195</v>
      </c>
    </row>
    <row r="14" spans="1:19" ht="52" x14ac:dyDescent="0.2">
      <c r="A14" s="94" t="s">
        <v>196</v>
      </c>
      <c r="B14" s="94" t="s">
        <v>197</v>
      </c>
      <c r="C14" s="99">
        <v>3.9499</v>
      </c>
      <c r="D14" s="94" t="s">
        <v>43</v>
      </c>
      <c r="E14" s="96" t="s">
        <v>198</v>
      </c>
    </row>
    <row r="15" spans="1:19" ht="52" x14ac:dyDescent="0.2">
      <c r="A15" s="94" t="s">
        <v>199</v>
      </c>
      <c r="B15" s="94" t="s">
        <v>200</v>
      </c>
      <c r="C15" s="100">
        <v>4.5856000000000001E-2</v>
      </c>
      <c r="D15" s="94" t="s">
        <v>201</v>
      </c>
      <c r="E15" s="96" t="s">
        <v>198</v>
      </c>
    </row>
    <row r="17" spans="1:19" ht="15" customHeight="1" x14ac:dyDescent="0.2">
      <c r="A17" s="102" t="s">
        <v>120</v>
      </c>
      <c r="B17" s="73"/>
      <c r="C17" s="73"/>
      <c r="D17" s="73"/>
      <c r="E17" s="103"/>
      <c r="F17" s="102" t="s">
        <v>121</v>
      </c>
      <c r="G17" s="103"/>
      <c r="H17" s="102" t="s">
        <v>122</v>
      </c>
      <c r="I17" s="73"/>
      <c r="J17" s="73"/>
      <c r="K17" s="73"/>
      <c r="L17" s="103"/>
      <c r="M17" s="102" t="s">
        <v>123</v>
      </c>
      <c r="N17" s="103"/>
      <c r="O17" s="102" t="s">
        <v>124</v>
      </c>
      <c r="P17" s="73"/>
      <c r="Q17" s="73"/>
      <c r="R17" s="73"/>
      <c r="S17" s="103"/>
    </row>
    <row r="18" spans="1:19" ht="65" x14ac:dyDescent="0.2">
      <c r="A18" s="74" t="s">
        <v>125</v>
      </c>
      <c r="B18" s="74" t="s">
        <v>126</v>
      </c>
      <c r="C18" s="74" t="s">
        <v>127</v>
      </c>
      <c r="D18" s="74" t="s">
        <v>128</v>
      </c>
      <c r="E18" s="74" t="s">
        <v>129</v>
      </c>
      <c r="F18" s="74" t="s">
        <v>130</v>
      </c>
      <c r="G18" s="74" t="s">
        <v>131</v>
      </c>
      <c r="H18" s="74" t="s">
        <v>132</v>
      </c>
      <c r="I18" s="74" t="s">
        <v>133</v>
      </c>
      <c r="J18" s="74" t="s">
        <v>134</v>
      </c>
      <c r="K18" s="74" t="s">
        <v>135</v>
      </c>
      <c r="L18" s="74" t="s">
        <v>136</v>
      </c>
      <c r="M18" s="74" t="s">
        <v>137</v>
      </c>
      <c r="N18" s="74" t="s">
        <v>138</v>
      </c>
      <c r="O18" s="74" t="s">
        <v>139</v>
      </c>
      <c r="P18" s="74" t="s">
        <v>140</v>
      </c>
      <c r="Q18" s="74" t="s">
        <v>141</v>
      </c>
      <c r="R18" s="74" t="s">
        <v>142</v>
      </c>
      <c r="S18" s="74" t="s">
        <v>143</v>
      </c>
    </row>
    <row r="19" spans="1:19" ht="24" customHeight="1" x14ac:dyDescent="0.2">
      <c r="A19" s="75" t="s">
        <v>144</v>
      </c>
      <c r="B19" s="75" t="s">
        <v>145</v>
      </c>
      <c r="C19" s="75" t="s">
        <v>146</v>
      </c>
      <c r="D19" s="75" t="s">
        <v>147</v>
      </c>
      <c r="E19" s="75" t="s">
        <v>148</v>
      </c>
      <c r="F19" s="75" t="s">
        <v>149</v>
      </c>
      <c r="G19" s="75" t="s">
        <v>150</v>
      </c>
      <c r="H19" s="75" t="s">
        <v>144</v>
      </c>
      <c r="I19" s="75" t="s">
        <v>151</v>
      </c>
      <c r="J19" s="75" t="s">
        <v>152</v>
      </c>
      <c r="K19" s="75" t="s">
        <v>153</v>
      </c>
      <c r="L19" s="75" t="s">
        <v>154</v>
      </c>
      <c r="M19" s="75" t="s">
        <v>155</v>
      </c>
      <c r="N19" s="75" t="s">
        <v>156</v>
      </c>
      <c r="O19" s="75" t="s">
        <v>144</v>
      </c>
      <c r="P19" s="75" t="s">
        <v>144</v>
      </c>
      <c r="Q19" s="75" t="s">
        <v>157</v>
      </c>
      <c r="R19" s="75" t="s">
        <v>158</v>
      </c>
      <c r="S19" s="75" t="s">
        <v>159</v>
      </c>
    </row>
    <row r="20" spans="1:19" x14ac:dyDescent="0.2">
      <c r="A20" s="76">
        <v>18</v>
      </c>
      <c r="B20" s="77">
        <f t="shared" ref="B20:B26" si="0">($C$14^3+3*$C$15*A20/PI())^(1/3)</f>
        <v>3.9666688837081843</v>
      </c>
      <c r="C20" s="78">
        <f t="shared" ref="C20:C26" si="1">(B20-$C$14)/$C$15</f>
        <v>0.36568570542969953</v>
      </c>
      <c r="D20" s="78">
        <f t="shared" ref="D20:D26" si="2">PI()*B20^2</f>
        <v>49.431270330993506</v>
      </c>
      <c r="E20" s="78">
        <f t="shared" ref="E20:E26" si="3">D20/A20</f>
        <v>2.7461816850551948</v>
      </c>
      <c r="F20" s="77">
        <f t="shared" ref="F20:F26" si="4">$C$9*A20/1000</f>
        <v>0.32727536963213399</v>
      </c>
      <c r="G20" s="79">
        <f t="shared" ref="G20:G26" si="5">F20/(D20/10000)</f>
        <v>66.20816488038578</v>
      </c>
      <c r="H20" s="80">
        <v>3.0762037154050299</v>
      </c>
      <c r="I20" s="78">
        <f t="shared" ref="I20:I26" si="6">$C$9-H20</f>
        <v>15.105761264157973</v>
      </c>
      <c r="J20" s="81">
        <f t="shared" ref="J20:J26" si="7">I20/$C$9</f>
        <v>0.8308101616704926</v>
      </c>
      <c r="K20" s="78">
        <f t="shared" ref="K20:K26" si="8">I20/$C$10</f>
        <v>2.1579658948797102</v>
      </c>
      <c r="L20" s="78">
        <f t="shared" ref="L20:L26" si="9">I20*A20/1000</f>
        <v>0.27190370275484349</v>
      </c>
      <c r="M20" s="82">
        <f t="shared" ref="M20:M26" si="10">H20*A20/1000/(D20/10000)</f>
        <v>11.201748712205843</v>
      </c>
      <c r="N20" s="82">
        <f t="shared" ref="N20:N26" si="11">$C$12*A20/1000/(D20/10000)</f>
        <v>3.5977226320338755</v>
      </c>
      <c r="O20" s="80">
        <v>3.3</v>
      </c>
      <c r="P20" s="80">
        <v>1.8</v>
      </c>
      <c r="Q20" s="77">
        <f t="shared" ref="Q20:R26" si="12">O20*$C$13</f>
        <v>0.18050999999999998</v>
      </c>
      <c r="R20" s="77">
        <f t="shared" si="12"/>
        <v>9.8460000000000006E-2</v>
      </c>
      <c r="S20" s="82">
        <f t="shared" ref="S20:S26" si="13">(R20-Q20)/(D20/10000)</f>
        <v>-16.598804653530106</v>
      </c>
    </row>
    <row r="21" spans="1:19" x14ac:dyDescent="0.2">
      <c r="A21" s="76">
        <v>36</v>
      </c>
      <c r="B21" s="77">
        <f t="shared" si="0"/>
        <v>3.9832971744785999</v>
      </c>
      <c r="C21" s="78">
        <f t="shared" si="1"/>
        <v>0.72830544484036785</v>
      </c>
      <c r="D21" s="78">
        <f t="shared" si="2"/>
        <v>49.846571121098833</v>
      </c>
      <c r="E21" s="78">
        <f t="shared" si="3"/>
        <v>1.3846269755860787</v>
      </c>
      <c r="F21" s="77">
        <f t="shared" si="4"/>
        <v>0.65455073926426799</v>
      </c>
      <c r="G21" s="79">
        <f t="shared" si="5"/>
        <v>131.3130922634742</v>
      </c>
      <c r="H21" s="80">
        <v>3.3630481486161998</v>
      </c>
      <c r="I21" s="78">
        <f t="shared" si="6"/>
        <v>14.818916830946803</v>
      </c>
      <c r="J21" s="81">
        <f t="shared" si="7"/>
        <v>0.81503384521990052</v>
      </c>
      <c r="K21" s="78">
        <f t="shared" si="8"/>
        <v>2.1169881187066859</v>
      </c>
      <c r="L21" s="78">
        <f t="shared" si="9"/>
        <v>0.53348100591408487</v>
      </c>
      <c r="M21" s="82">
        <f t="shared" si="10"/>
        <v>24.288477748259268</v>
      </c>
      <c r="N21" s="82">
        <f t="shared" si="11"/>
        <v>7.1354958224889682</v>
      </c>
      <c r="O21" s="80">
        <v>4.3</v>
      </c>
      <c r="P21" s="80">
        <v>2.7</v>
      </c>
      <c r="Q21" s="77">
        <f t="shared" si="12"/>
        <v>0.23520999999999997</v>
      </c>
      <c r="R21" s="77">
        <f t="shared" si="12"/>
        <v>0.14769000000000002</v>
      </c>
      <c r="S21" s="82">
        <f t="shared" si="13"/>
        <v>-17.55787770985814</v>
      </c>
    </row>
    <row r="22" spans="1:19" x14ac:dyDescent="0.2">
      <c r="A22" s="76">
        <v>54</v>
      </c>
      <c r="B22" s="77">
        <f t="shared" si="0"/>
        <v>3.9997877826435579</v>
      </c>
      <c r="C22" s="78">
        <f t="shared" si="1"/>
        <v>1.0879226850043173</v>
      </c>
      <c r="D22" s="78">
        <f t="shared" si="2"/>
        <v>50.260148995018405</v>
      </c>
      <c r="E22" s="78">
        <f t="shared" si="3"/>
        <v>0.93074349990774818</v>
      </c>
      <c r="F22" s="77">
        <f t="shared" si="4"/>
        <v>0.98182610889640221</v>
      </c>
      <c r="G22" s="79">
        <f t="shared" si="5"/>
        <v>195.34882576526326</v>
      </c>
      <c r="H22" s="80">
        <v>5.5719954505244598</v>
      </c>
      <c r="I22" s="78">
        <f t="shared" si="6"/>
        <v>12.609969529038542</v>
      </c>
      <c r="J22" s="81">
        <f t="shared" si="7"/>
        <v>0.69354272451918553</v>
      </c>
      <c r="K22" s="78">
        <f t="shared" si="8"/>
        <v>1.8014242184340774</v>
      </c>
      <c r="L22" s="78">
        <f t="shared" si="9"/>
        <v>0.68093835456808127</v>
      </c>
      <c r="M22" s="82">
        <f t="shared" si="10"/>
        <v>59.866068912398909</v>
      </c>
      <c r="N22" s="82">
        <f t="shared" si="11"/>
        <v>10.615169486522621</v>
      </c>
      <c r="O22" s="80">
        <v>4.7</v>
      </c>
      <c r="P22" s="80">
        <v>4.7</v>
      </c>
      <c r="Q22" s="77">
        <f t="shared" si="12"/>
        <v>0.25708999999999999</v>
      </c>
      <c r="R22" s="77">
        <f t="shared" si="12"/>
        <v>0.25708999999999999</v>
      </c>
      <c r="S22" s="82">
        <f t="shared" si="13"/>
        <v>0</v>
      </c>
    </row>
    <row r="23" spans="1:19" x14ac:dyDescent="0.2">
      <c r="A23" s="76">
        <v>72</v>
      </c>
      <c r="B23" s="77">
        <f t="shared" si="0"/>
        <v>4.016143523324164</v>
      </c>
      <c r="C23" s="78">
        <f t="shared" si="1"/>
        <v>1.4445988163852943</v>
      </c>
      <c r="D23" s="78">
        <f t="shared" si="2"/>
        <v>50.672032192633765</v>
      </c>
      <c r="E23" s="78">
        <f t="shared" si="3"/>
        <v>0.70377822489769115</v>
      </c>
      <c r="F23" s="77">
        <f t="shared" si="4"/>
        <v>1.309101478528536</v>
      </c>
      <c r="G23" s="79">
        <f t="shared" si="5"/>
        <v>258.34793314621413</v>
      </c>
      <c r="H23" s="80">
        <v>7.0062176165803098</v>
      </c>
      <c r="I23" s="78">
        <f t="shared" si="6"/>
        <v>11.175747362982692</v>
      </c>
      <c r="J23" s="81">
        <f t="shared" si="7"/>
        <v>0.61466114226622481</v>
      </c>
      <c r="K23" s="78">
        <f t="shared" si="8"/>
        <v>1.5965353375689559</v>
      </c>
      <c r="L23" s="78">
        <f t="shared" si="9"/>
        <v>0.80465381013475379</v>
      </c>
      <c r="M23" s="82">
        <f t="shared" si="10"/>
        <v>99.551497456443883</v>
      </c>
      <c r="N23" s="82">
        <f t="shared" si="11"/>
        <v>14.03851334194982</v>
      </c>
      <c r="O23" s="80">
        <v>4.8</v>
      </c>
      <c r="P23" s="80">
        <v>6.7</v>
      </c>
      <c r="Q23" s="77">
        <f t="shared" si="12"/>
        <v>0.26255999999999996</v>
      </c>
      <c r="R23" s="77">
        <f t="shared" si="12"/>
        <v>0.36648999999999998</v>
      </c>
      <c r="S23" s="82">
        <f t="shared" si="13"/>
        <v>20.510327986235453</v>
      </c>
    </row>
    <row r="24" spans="1:19" x14ac:dyDescent="0.2">
      <c r="A24" s="76">
        <v>90</v>
      </c>
      <c r="B24" s="77">
        <f t="shared" si="0"/>
        <v>4.0323671206613572</v>
      </c>
      <c r="C24" s="78">
        <f t="shared" si="1"/>
        <v>1.7983932454064286</v>
      </c>
      <c r="D24" s="78">
        <f t="shared" si="2"/>
        <v>51.082248153619467</v>
      </c>
      <c r="E24" s="78">
        <f t="shared" si="3"/>
        <v>0.56758053504021633</v>
      </c>
      <c r="F24" s="77">
        <f t="shared" si="4"/>
        <v>1.63637684816067</v>
      </c>
      <c r="G24" s="79">
        <f t="shared" si="5"/>
        <v>320.34158779378691</v>
      </c>
      <c r="H24" s="80">
        <v>9.4358144824971593</v>
      </c>
      <c r="I24" s="78">
        <f t="shared" si="6"/>
        <v>8.7461504970658428</v>
      </c>
      <c r="J24" s="81">
        <f t="shared" si="7"/>
        <v>0.48103439352659305</v>
      </c>
      <c r="K24" s="78">
        <f t="shared" si="8"/>
        <v>1.2494500710094061</v>
      </c>
      <c r="L24" s="78">
        <f t="shared" si="9"/>
        <v>0.7871535447359258</v>
      </c>
      <c r="M24" s="82">
        <f t="shared" si="10"/>
        <v>166.24626638805677</v>
      </c>
      <c r="N24" s="82">
        <f t="shared" si="11"/>
        <v>17.407221336968409</v>
      </c>
      <c r="O24" s="80">
        <v>4.0999999999999996</v>
      </c>
      <c r="P24" s="80">
        <v>8.1</v>
      </c>
      <c r="Q24" s="77">
        <f t="shared" si="12"/>
        <v>0.22426999999999997</v>
      </c>
      <c r="R24" s="77">
        <f t="shared" si="12"/>
        <v>0.44306999999999996</v>
      </c>
      <c r="S24" s="82">
        <f t="shared" si="13"/>
        <v>42.832883811613677</v>
      </c>
    </row>
    <row r="25" spans="1:19" x14ac:dyDescent="0.2">
      <c r="A25" s="76">
        <v>108</v>
      </c>
      <c r="B25" s="77">
        <f t="shared" si="0"/>
        <v>4.0484612118105288</v>
      </c>
      <c r="C25" s="78">
        <f t="shared" si="1"/>
        <v>2.1493634815624736</v>
      </c>
      <c r="D25" s="78">
        <f t="shared" si="2"/>
        <v>51.490823549447789</v>
      </c>
      <c r="E25" s="78">
        <f t="shared" si="3"/>
        <v>0.47676688471710915</v>
      </c>
      <c r="F25" s="77">
        <f t="shared" si="4"/>
        <v>1.9636522177928044</v>
      </c>
      <c r="G25" s="79">
        <f t="shared" si="5"/>
        <v>381.35964477380429</v>
      </c>
      <c r="H25" s="80">
        <v>8.1070137748009596</v>
      </c>
      <c r="I25" s="78">
        <f t="shared" si="6"/>
        <v>10.074951204762042</v>
      </c>
      <c r="J25" s="81">
        <f t="shared" si="7"/>
        <v>0.55411784238318285</v>
      </c>
      <c r="K25" s="78">
        <f t="shared" si="8"/>
        <v>1.4392787435374346</v>
      </c>
      <c r="L25" s="78">
        <f t="shared" si="9"/>
        <v>1.0880947301143005</v>
      </c>
      <c r="M25" s="82">
        <f t="shared" si="10"/>
        <v>170.04146123972677</v>
      </c>
      <c r="N25" s="82">
        <f t="shared" si="11"/>
        <v>20.722915782756857</v>
      </c>
      <c r="O25" s="80">
        <v>3.6</v>
      </c>
      <c r="P25" s="80">
        <v>8.3000000000000007</v>
      </c>
      <c r="Q25" s="77">
        <f t="shared" si="12"/>
        <v>0.19692000000000001</v>
      </c>
      <c r="R25" s="77">
        <f t="shared" si="12"/>
        <v>0.45401000000000002</v>
      </c>
      <c r="S25" s="82">
        <f t="shared" si="13"/>
        <v>49.929284924547922</v>
      </c>
    </row>
    <row r="26" spans="1:19" x14ac:dyDescent="0.2">
      <c r="A26" s="83">
        <v>126</v>
      </c>
      <c r="B26" s="84">
        <f t="shared" si="0"/>
        <v>4.0644283507155361</v>
      </c>
      <c r="C26" s="85">
        <f t="shared" si="1"/>
        <v>2.497565219721217</v>
      </c>
      <c r="D26" s="85">
        <f t="shared" si="2"/>
        <v>51.897784313748531</v>
      </c>
      <c r="E26" s="85">
        <f t="shared" si="3"/>
        <v>0.4118871770932423</v>
      </c>
      <c r="F26" s="84">
        <f t="shared" si="4"/>
        <v>2.2909275874249384</v>
      </c>
      <c r="G26" s="86">
        <f t="shared" si="5"/>
        <v>441.43071187299915</v>
      </c>
      <c r="H26" s="87">
        <v>11.4167572349299</v>
      </c>
      <c r="I26" s="85">
        <f t="shared" si="6"/>
        <v>6.765207744633102</v>
      </c>
      <c r="J26" s="88">
        <f t="shared" si="7"/>
        <v>0.37208342179942433</v>
      </c>
      <c r="K26" s="85">
        <f t="shared" si="8"/>
        <v>0.96645824923330026</v>
      </c>
      <c r="L26" s="85">
        <f t="shared" si="9"/>
        <v>0.85241617582377083</v>
      </c>
      <c r="M26" s="89">
        <f t="shared" si="10"/>
        <v>277.18166211193784</v>
      </c>
      <c r="N26" s="89">
        <f t="shared" si="11"/>
        <v>23.987151213895114</v>
      </c>
      <c r="O26" s="87">
        <v>1.8087500000000001</v>
      </c>
      <c r="P26" s="87">
        <v>7.4</v>
      </c>
      <c r="Q26" s="84">
        <f t="shared" si="12"/>
        <v>9.8938625000000002E-2</v>
      </c>
      <c r="R26" s="84">
        <f t="shared" si="12"/>
        <v>0.40478000000000003</v>
      </c>
      <c r="S26" s="89">
        <f t="shared" si="13"/>
        <v>58.931489859188048</v>
      </c>
    </row>
    <row r="28" spans="1:19" x14ac:dyDescent="0.2">
      <c r="A28" s="101" t="s">
        <v>202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</row>
    <row r="29" spans="1:19" x14ac:dyDescent="0.2">
      <c r="A29" s="91" t="s">
        <v>203</v>
      </c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</row>
    <row r="30" spans="1:19" x14ac:dyDescent="0.2">
      <c r="A30" s="91" t="s">
        <v>204</v>
      </c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</row>
    <row r="31" spans="1:19" x14ac:dyDescent="0.2">
      <c r="A31" s="91" t="s">
        <v>205</v>
      </c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</row>
    <row r="32" spans="1:19" x14ac:dyDescent="0.2">
      <c r="A32" s="91" t="s">
        <v>206</v>
      </c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</row>
    <row r="33" spans="1:19" x14ac:dyDescent="0.2">
      <c r="A33" s="91" t="s">
        <v>207</v>
      </c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</row>
    <row r="34" spans="1:19" x14ac:dyDescent="0.2">
      <c r="A34" s="91" t="s">
        <v>208</v>
      </c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</row>
  </sheetData>
  <mergeCells count="13">
    <mergeCell ref="A29:S29"/>
    <mergeCell ref="A30:S30"/>
    <mergeCell ref="A31:S31"/>
    <mergeCell ref="A32:S32"/>
    <mergeCell ref="A33:S33"/>
    <mergeCell ref="A34:S34"/>
    <mergeCell ref="A17:E17"/>
    <mergeCell ref="F17:G17"/>
    <mergeCell ref="H17:L17"/>
    <mergeCell ref="M17:N17"/>
    <mergeCell ref="O17:S17"/>
    <mergeCell ref="A28:S28"/>
    <mergeCell ref="A2:S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C241A-F98F-8243-8E54-B4F274EE3C01}">
  <dimension ref="A1:F11"/>
  <sheetViews>
    <sheetView topLeftCell="B1" zoomScale="150" workbookViewId="0">
      <selection activeCell="G1" sqref="G1"/>
    </sheetView>
  </sheetViews>
  <sheetFormatPr baseColWidth="10" defaultRowHeight="15" x14ac:dyDescent="0.2"/>
  <cols>
    <col min="1" max="6" width="19.33203125" customWidth="1"/>
  </cols>
  <sheetData>
    <row r="1" spans="1:6" s="54" customFormat="1" x14ac:dyDescent="0.2">
      <c r="A1" s="55" t="s">
        <v>62</v>
      </c>
      <c r="B1" s="55" t="s">
        <v>26</v>
      </c>
      <c r="C1" s="55" t="s">
        <v>82</v>
      </c>
      <c r="D1" s="55" t="s">
        <v>76</v>
      </c>
      <c r="E1" s="55" t="s">
        <v>64</v>
      </c>
      <c r="F1" s="55" t="s">
        <v>83</v>
      </c>
    </row>
    <row r="2" spans="1:6" x14ac:dyDescent="0.2">
      <c r="A2" s="29">
        <v>1.7999999999999999E-2</v>
      </c>
      <c r="B2" s="29">
        <v>0.37</v>
      </c>
      <c r="C2" s="27">
        <v>49.43345902838054</v>
      </c>
      <c r="D2" s="27">
        <v>0.59200000000000008</v>
      </c>
      <c r="E2" s="27">
        <v>2.7463032793544748</v>
      </c>
      <c r="F2" s="53">
        <v>7.2825168838239343E-3</v>
      </c>
    </row>
    <row r="3" spans="1:6" x14ac:dyDescent="0.2">
      <c r="A3" s="29">
        <v>3.5999999999999997E-2</v>
      </c>
      <c r="B3" s="29">
        <v>0.73</v>
      </c>
      <c r="C3" s="27">
        <v>49.848538963894889</v>
      </c>
      <c r="D3" s="27">
        <v>0.88</v>
      </c>
      <c r="E3" s="27">
        <v>1.3846816378859692</v>
      </c>
      <c r="F3" s="53">
        <v>1.4443753316852341E-2</v>
      </c>
    </row>
    <row r="4" spans="1:6" x14ac:dyDescent="0.2">
      <c r="A4" s="29">
        <v>5.3999999999999999E-2</v>
      </c>
      <c r="B4" s="29">
        <v>1.0900000000000001</v>
      </c>
      <c r="C4" s="27">
        <v>50.26190110560556</v>
      </c>
      <c r="D4" s="27">
        <v>1.056</v>
      </c>
      <c r="E4" s="27">
        <v>0.93077594640010297</v>
      </c>
      <c r="F4" s="53">
        <v>2.1487448270824577E-2</v>
      </c>
    </row>
    <row r="5" spans="1:6" x14ac:dyDescent="0.2">
      <c r="A5" s="29">
        <v>7.1999999999999995E-2</v>
      </c>
      <c r="B5" s="29">
        <v>1.44</v>
      </c>
      <c r="C5" s="27">
        <v>50.673616322574247</v>
      </c>
      <c r="D5" s="27">
        <v>1.2</v>
      </c>
      <c r="E5" s="27">
        <v>0.70380022670242015</v>
      </c>
      <c r="F5" s="53">
        <v>2.841715481352974E-2</v>
      </c>
    </row>
    <row r="6" spans="1:6" x14ac:dyDescent="0.2">
      <c r="A6" s="29">
        <v>0.09</v>
      </c>
      <c r="B6" s="29">
        <v>1.8</v>
      </c>
      <c r="C6" s="27">
        <v>51.083641125678746</v>
      </c>
      <c r="D6" s="27">
        <v>1.296</v>
      </c>
      <c r="E6" s="27">
        <v>0.56759601250754166</v>
      </c>
      <c r="F6" s="53">
        <v>3.5236329289283476E-2</v>
      </c>
    </row>
    <row r="7" spans="1:6" x14ac:dyDescent="0.2">
      <c r="A7" s="29">
        <v>0.108</v>
      </c>
      <c r="B7" s="29">
        <v>2.15</v>
      </c>
      <c r="C7" s="27">
        <v>51.491937405806063</v>
      </c>
      <c r="D7" s="27">
        <v>1.456</v>
      </c>
      <c r="E7" s="27">
        <v>0.476777198201908</v>
      </c>
      <c r="F7" s="53">
        <v>4.194831480076424E-2</v>
      </c>
    </row>
    <row r="8" spans="1:6" x14ac:dyDescent="0.2">
      <c r="A8" s="29">
        <v>0.126</v>
      </c>
      <c r="B8" s="29">
        <v>2.5</v>
      </c>
      <c r="C8" s="27">
        <v>51.898699820913329</v>
      </c>
      <c r="D8" s="27">
        <v>1.36</v>
      </c>
      <c r="E8" s="27">
        <v>0.41189444302312167</v>
      </c>
      <c r="F8" s="53">
        <v>4.8556129704515831E-2</v>
      </c>
    </row>
    <row r="11" spans="1:6" x14ac:dyDescent="0.2">
      <c r="A11" s="29"/>
      <c r="E11" s="2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1B17B-76F4-9149-88EE-27D2AFBF33C3}">
  <dimension ref="A1:C4"/>
  <sheetViews>
    <sheetView workbookViewId="0">
      <selection activeCell="A4" sqref="A1:C4"/>
    </sheetView>
  </sheetViews>
  <sheetFormatPr baseColWidth="10" defaultRowHeight="15" x14ac:dyDescent="0.2"/>
  <cols>
    <col min="1" max="1" width="31.5" bestFit="1" customWidth="1"/>
  </cols>
  <sheetData>
    <row r="1" spans="1:3" x14ac:dyDescent="0.2">
      <c r="A1" t="s">
        <v>100</v>
      </c>
      <c r="B1">
        <v>0.76600000000000001</v>
      </c>
      <c r="C1" t="s">
        <v>102</v>
      </c>
    </row>
    <row r="2" spans="1:3" x14ac:dyDescent="0.2">
      <c r="A2" t="s">
        <v>101</v>
      </c>
      <c r="B2" s="63">
        <f>'Per volume definitive'!C5/10^4</f>
        <v>5.0673616322574246E-3</v>
      </c>
      <c r="C2" t="s">
        <v>103</v>
      </c>
    </row>
    <row r="3" spans="1:3" x14ac:dyDescent="0.2">
      <c r="A3" t="s">
        <v>105</v>
      </c>
      <c r="B3">
        <f>B1/B2</f>
        <v>151.16347629974848</v>
      </c>
      <c r="C3" t="s">
        <v>106</v>
      </c>
    </row>
    <row r="4" spans="1:3" x14ac:dyDescent="0.2">
      <c r="A4" t="s">
        <v>107</v>
      </c>
      <c r="B4">
        <f>B3/24</f>
        <v>6.298478179156187</v>
      </c>
      <c r="C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Definitive</vt:lpstr>
      <vt:lpstr>Improved</vt:lpstr>
      <vt:lpstr>Coloured &amp; source</vt:lpstr>
      <vt:lpstr>Corrected</vt:lpstr>
      <vt:lpstr>From Raf</vt:lpstr>
      <vt:lpstr>3 - fresh to lyo</vt:lpstr>
      <vt:lpstr>Volume-Height</vt:lpstr>
      <vt:lpstr>Per volume</vt:lpstr>
      <vt:lpstr>Excel file_perVolume</vt:lpstr>
      <vt:lpstr>Per volume definitive</vt:lpstr>
      <vt:lpstr>Common consumption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Philippini</dc:creator>
  <cp:keywords/>
  <dc:description/>
  <cp:lastModifiedBy>Jara Saluena Martin</cp:lastModifiedBy>
  <cp:revision/>
  <dcterms:created xsi:type="dcterms:W3CDTF">2026-01-06T12:53:01Z</dcterms:created>
  <dcterms:modified xsi:type="dcterms:W3CDTF">2026-10-11T22:50:29Z</dcterms:modified>
  <cp:category/>
  <cp:contentStatus/>
</cp:coreProperties>
</file>