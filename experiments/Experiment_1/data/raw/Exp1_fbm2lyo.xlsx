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a/Documents/Claude/Projects/LSSF/experiments/Experiment_1/data/raw/"/>
    </mc:Choice>
  </mc:AlternateContent>
  <xr:revisionPtr revIDLastSave="0" documentId="13_ncr:1_{F513234F-9422-674E-B639-87A0B3DE93EE}" xr6:coauthVersionLast="47" xr6:coauthVersionMax="47" xr10:uidLastSave="{00000000-0000-0000-0000-000000000000}"/>
  <bookViews>
    <workbookView xWindow="0" yWindow="660" windowWidth="29540" windowHeight="17200" xr2:uid="{89596E51-4985-4201-A178-EBAEF3079403}"/>
  </bookViews>
  <sheets>
    <sheet name="3 - fresh to lyo" sheetId="11" r:id="rId1"/>
  </sheets>
  <definedNames>
    <definedName name="_xlnm._FilterDatabase" localSheetId="0" hidden="1">'3 - fresh to lyo'!$A$1:$H$28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1" l="1"/>
  <c r="F23" i="11"/>
  <c r="H23" i="11" s="1"/>
  <c r="G22" i="11"/>
  <c r="F22" i="11"/>
  <c r="H22" i="11" s="1"/>
  <c r="G21" i="11"/>
  <c r="F21" i="11"/>
  <c r="H21" i="11" s="1"/>
  <c r="G20" i="11"/>
  <c r="F20" i="11"/>
  <c r="H20" i="11" s="1"/>
  <c r="G19" i="11"/>
  <c r="F19" i="11"/>
  <c r="H19" i="11" s="1"/>
  <c r="G18" i="11"/>
  <c r="F18" i="11"/>
  <c r="H18" i="11" s="1"/>
  <c r="G17" i="11"/>
  <c r="F17" i="11"/>
  <c r="H17" i="11" s="1"/>
  <c r="G16" i="11"/>
  <c r="F16" i="11"/>
  <c r="H16" i="11" s="1"/>
  <c r="G15" i="11"/>
  <c r="F15" i="11"/>
  <c r="H15" i="11" s="1"/>
  <c r="G14" i="11"/>
  <c r="F14" i="11"/>
  <c r="H14" i="11" s="1"/>
  <c r="G13" i="11"/>
  <c r="F13" i="11"/>
  <c r="H13" i="11" s="1"/>
  <c r="G12" i="11"/>
  <c r="F12" i="11"/>
  <c r="H12" i="11" s="1"/>
  <c r="G11" i="11"/>
  <c r="F11" i="11"/>
  <c r="H11" i="11" s="1"/>
  <c r="G10" i="11"/>
  <c r="F10" i="11"/>
  <c r="H10" i="11" s="1"/>
  <c r="G9" i="11"/>
  <c r="F9" i="11"/>
  <c r="H9" i="11" s="1"/>
  <c r="G8" i="11"/>
  <c r="F8" i="11"/>
  <c r="H8" i="11" s="1"/>
  <c r="G7" i="11"/>
  <c r="F7" i="11"/>
  <c r="H7" i="11" s="1"/>
  <c r="G6" i="11"/>
  <c r="F6" i="11"/>
  <c r="H6" i="11" s="1"/>
  <c r="G5" i="11"/>
  <c r="F5" i="11"/>
  <c r="G4" i="11"/>
  <c r="F4" i="11"/>
  <c r="H4" i="11" s="1"/>
  <c r="G3" i="11"/>
  <c r="F3" i="11"/>
  <c r="H3" i="11" s="1"/>
  <c r="G2" i="11"/>
  <c r="F2" i="11"/>
  <c r="H2" i="11" s="1"/>
</calcChain>
</file>

<file path=xl/sharedStrings.xml><?xml version="1.0" encoding="utf-8"?>
<sst xmlns="http://schemas.openxmlformats.org/spreadsheetml/2006/main" count="9" uniqueCount="9">
  <si>
    <t>Replicate</t>
  </si>
  <si>
    <t>epp</t>
  </si>
  <si>
    <t>epp+fresh</t>
  </si>
  <si>
    <t>epp+lyo</t>
  </si>
  <si>
    <t>Fbio</t>
  </si>
  <si>
    <t>Lbio</t>
  </si>
  <si>
    <t>Ratio</t>
  </si>
  <si>
    <t>I</t>
  </si>
  <si>
    <t>Inc_day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</si>
</sst>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1B2C9CD6-4701-7741-A06A-BC72C451C7B3}"/>
  </cellStyles>
  <dxfs count="0"/>
  <tableStyles count="0" defaultTableStyle="TableStyleMedium2" defaultPivotStyle="PivotStyleLight16"/>
  <colors>
    <mruColors>
      <color rgb="FF57BEB1"/>
      <color rgb="FF69ACC9"/>
      <color rgb="FFD9688D"/>
      <color rgb="FFFF7AA4"/>
      <color rgb="FF60BBBD"/>
      <color rgb="FF5AB6C9"/>
      <color rgb="FF58BE8D"/>
      <color rgb="FF63BE7B"/>
      <color rgb="FFCA6768"/>
      <color rgb="FFC68B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lyo'!$F$2:$F$28</c:f>
              <c:numCache>
                <c:formatCode>General</c:formatCode>
                <c:ptCount val="27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  <c:pt idx="21">
                  <c:v>852.89999999999986</c:v>
                </c:pt>
              </c:numCache>
            </c:numRef>
          </c:xVal>
          <c:yVal>
            <c:numRef>
              <c:f>'3 - fresh to lyo'!$G$2:$G$28</c:f>
              <c:numCache>
                <c:formatCode>General</c:formatCode>
                <c:ptCount val="27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  <c:pt idx="21">
                  <c:v>53.299999999999955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3-0D42-AA0C-E3BD3F59F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310719"/>
        <c:axId val="1384503871"/>
      </c:scatterChart>
      <c:valAx>
        <c:axId val="139231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03871"/>
        <c:crosses val="autoZero"/>
        <c:crossBetween val="midCat"/>
      </c:valAx>
      <c:valAx>
        <c:axId val="13845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1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lyo'!$F$2:$F$26</c:f>
              <c:numCache>
                <c:formatCode>General</c:formatCode>
                <c:ptCount val="25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  <c:pt idx="21">
                  <c:v>852.89999999999986</c:v>
                </c:pt>
              </c:numCache>
            </c:numRef>
          </c:xVal>
          <c:yVal>
            <c:numRef>
              <c:f>'3 - fresh to lyo'!$G$2:$G$26</c:f>
              <c:numCache>
                <c:formatCode>General</c:formatCode>
                <c:ptCount val="25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  <c:pt idx="21">
                  <c:v>53.299999999999955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C-304B-8015-603E6C86F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39743"/>
        <c:axId val="1383359231"/>
      </c:scatterChart>
      <c:valAx>
        <c:axId val="133103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59231"/>
        <c:crosses val="autoZero"/>
        <c:crossBetween val="midCat"/>
      </c:valAx>
      <c:valAx>
        <c:axId val="138335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39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lyo'!$F$2:$F$24</c:f>
              <c:numCache>
                <c:formatCode>General</c:formatCode>
                <c:ptCount val="23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  <c:pt idx="21">
                  <c:v>852.89999999999986</c:v>
                </c:pt>
              </c:numCache>
            </c:numRef>
          </c:xVal>
          <c:yVal>
            <c:numRef>
              <c:f>'3 - fresh to lyo'!$G$2:$G$24</c:f>
              <c:numCache>
                <c:formatCode>General</c:formatCode>
                <c:ptCount val="23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  <c:pt idx="21">
                  <c:v>53.299999999999955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83-F442-A795-4BA88DE8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46911"/>
        <c:axId val="1302953983"/>
      </c:scatterChart>
      <c:valAx>
        <c:axId val="133104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53983"/>
        <c:crosses val="autoZero"/>
        <c:crossBetween val="midCat"/>
      </c:valAx>
      <c:valAx>
        <c:axId val="130295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4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lyo'!$F$2:$F$22</c:f>
              <c:numCache>
                <c:formatCode>General</c:formatCode>
                <c:ptCount val="21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</c:numCache>
            </c:numRef>
          </c:xVal>
          <c:yVal>
            <c:numRef>
              <c:f>'3 - fresh to lyo'!$G$2:$G$22</c:f>
              <c:numCache>
                <c:formatCode>General</c:formatCode>
                <c:ptCount val="21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35-F44D-91E8-7543B11E0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862207"/>
        <c:axId val="1293861759"/>
      </c:scatterChart>
      <c:valAx>
        <c:axId val="129386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61759"/>
        <c:crosses val="autoZero"/>
        <c:crossBetween val="midCat"/>
      </c:valAx>
      <c:valAx>
        <c:axId val="12938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6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'3 - fresh to lyo'!$F$2:$F$23</c:f>
              <c:numCache>
                <c:formatCode>General</c:formatCode>
                <c:ptCount val="22"/>
                <c:pt idx="0">
                  <c:v>237.29999999999995</c:v>
                </c:pt>
                <c:pt idx="1">
                  <c:v>308.29999999999995</c:v>
                </c:pt>
                <c:pt idx="2">
                  <c:v>408.20000000000005</c:v>
                </c:pt>
                <c:pt idx="3">
                  <c:v>432.79999999999995</c:v>
                </c:pt>
                <c:pt idx="4">
                  <c:v>526.5</c:v>
                </c:pt>
                <c:pt idx="5">
                  <c:v>574.59999999999991</c:v>
                </c:pt>
                <c:pt idx="6">
                  <c:v>665.1</c:v>
                </c:pt>
                <c:pt idx="7">
                  <c:v>668.8</c:v>
                </c:pt>
                <c:pt idx="8">
                  <c:v>696.8</c:v>
                </c:pt>
                <c:pt idx="9">
                  <c:v>370.79999999999995</c:v>
                </c:pt>
                <c:pt idx="10">
                  <c:v>415.79999999999995</c:v>
                </c:pt>
                <c:pt idx="11">
                  <c:v>435.69999999999993</c:v>
                </c:pt>
                <c:pt idx="12">
                  <c:v>489</c:v>
                </c:pt>
                <c:pt idx="13">
                  <c:v>679.1</c:v>
                </c:pt>
                <c:pt idx="14">
                  <c:v>681.80000000000007</c:v>
                </c:pt>
                <c:pt idx="15">
                  <c:v>925.89999999999986</c:v>
                </c:pt>
                <c:pt idx="16">
                  <c:v>970.5</c:v>
                </c:pt>
                <c:pt idx="17">
                  <c:v>1139.3</c:v>
                </c:pt>
                <c:pt idx="18">
                  <c:v>675.7</c:v>
                </c:pt>
                <c:pt idx="19">
                  <c:v>706.4</c:v>
                </c:pt>
                <c:pt idx="20">
                  <c:v>762.6</c:v>
                </c:pt>
                <c:pt idx="21">
                  <c:v>852.89999999999986</c:v>
                </c:pt>
              </c:numCache>
            </c:numRef>
          </c:xVal>
          <c:yVal>
            <c:numRef>
              <c:f>'3 - fresh to lyo'!$G$2:$G$23</c:f>
              <c:numCache>
                <c:formatCode>General</c:formatCode>
                <c:ptCount val="22"/>
                <c:pt idx="0">
                  <c:v>11.899999999999977</c:v>
                </c:pt>
                <c:pt idx="1">
                  <c:v>16.900000000000091</c:v>
                </c:pt>
                <c:pt idx="2">
                  <c:v>21.299999999999955</c:v>
                </c:pt>
                <c:pt idx="3">
                  <c:v>17.900000000000091</c:v>
                </c:pt>
                <c:pt idx="4">
                  <c:v>29</c:v>
                </c:pt>
                <c:pt idx="5">
                  <c:v>18.600000000000023</c:v>
                </c:pt>
                <c:pt idx="6">
                  <c:v>27.399999999999977</c:v>
                </c:pt>
                <c:pt idx="7">
                  <c:v>26.900000000000091</c:v>
                </c:pt>
                <c:pt idx="8">
                  <c:v>27.200000000000045</c:v>
                </c:pt>
                <c:pt idx="9">
                  <c:v>14.5</c:v>
                </c:pt>
                <c:pt idx="10">
                  <c:v>23.5</c:v>
                </c:pt>
                <c:pt idx="11">
                  <c:v>27.399999999999977</c:v>
                </c:pt>
                <c:pt idx="12">
                  <c:v>26.300000000000068</c:v>
                </c:pt>
                <c:pt idx="13">
                  <c:v>39.600000000000023</c:v>
                </c:pt>
                <c:pt idx="14">
                  <c:v>38.699999999999932</c:v>
                </c:pt>
                <c:pt idx="15">
                  <c:v>48.899999999999864</c:v>
                </c:pt>
                <c:pt idx="16">
                  <c:v>68.099999999999909</c:v>
                </c:pt>
                <c:pt idx="17">
                  <c:v>63.599999999999909</c:v>
                </c:pt>
                <c:pt idx="18">
                  <c:v>44.200000000000045</c:v>
                </c:pt>
                <c:pt idx="19">
                  <c:v>40.699999999999932</c:v>
                </c:pt>
                <c:pt idx="20">
                  <c:v>43.999999999999886</c:v>
                </c:pt>
                <c:pt idx="21">
                  <c:v>53.299999999999955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0A-4B4A-9FCF-018FD5F0F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530303"/>
        <c:axId val="1349527615"/>
      </c:scatterChart>
      <c:valAx>
        <c:axId val="134953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27615"/>
        <c:crosses val="autoZero"/>
        <c:crossBetween val="midCat"/>
      </c:valAx>
      <c:valAx>
        <c:axId val="13495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3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3</xdr:row>
      <xdr:rowOff>31750</xdr:rowOff>
    </xdr:from>
    <xdr:to>
      <xdr:col>14</xdr:col>
      <xdr:colOff>450850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5F1DD-0D93-B84B-A069-3D5C9FFCE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15</xdr:row>
      <xdr:rowOff>12700</xdr:rowOff>
    </xdr:from>
    <xdr:to>
      <xdr:col>14</xdr:col>
      <xdr:colOff>723900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C0F31-D5BC-F848-A639-FCE4733A6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88900</xdr:colOff>
      <xdr:row>1</xdr:row>
      <xdr:rowOff>12700</xdr:rowOff>
    </xdr:from>
    <xdr:to>
      <xdr:col>17</xdr:col>
      <xdr:colOff>533400</xdr:colOff>
      <xdr:row>14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07B628-B065-F54C-85CC-53AF629A6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749300</xdr:colOff>
      <xdr:row>2</xdr:row>
      <xdr:rowOff>139700</xdr:rowOff>
    </xdr:from>
    <xdr:to>
      <xdr:col>18</xdr:col>
      <xdr:colOff>177800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6D3EE9-6372-5D40-A255-9D2E241F0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12700</xdr:colOff>
      <xdr:row>1</xdr:row>
      <xdr:rowOff>12700</xdr:rowOff>
    </xdr:from>
    <xdr:to>
      <xdr:col>18</xdr:col>
      <xdr:colOff>203200</xdr:colOff>
      <xdr:row>27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075E37-3EFE-234B-B134-E53D7724E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7537-BF1A-EC49-A129-71E296D8C807}">
  <dimension ref="A1:H28"/>
  <sheetViews>
    <sheetView tabSelected="1" zoomScale="101" workbookViewId="0">
      <selection activeCell="I12" sqref="I12"/>
    </sheetView>
  </sheetViews>
  <sheetFormatPr baseColWidth="10" defaultRowHeight="16" x14ac:dyDescent="0.2"/>
  <cols>
    <col min="1" max="16384" width="10.83203125" style="1"/>
  </cols>
  <sheetData>
    <row r="1" spans="1:8" x14ac:dyDescent="0.2">
      <c r="A1" s="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5</v>
      </c>
      <c r="B2" s="1">
        <v>9</v>
      </c>
      <c r="C2" s="1">
        <v>984.5</v>
      </c>
      <c r="D2" s="1">
        <v>1221.8</v>
      </c>
      <c r="E2" s="1">
        <v>996.4</v>
      </c>
      <c r="F2" s="1">
        <f t="shared" ref="F2:F28" si="0">D2-C2</f>
        <v>237.29999999999995</v>
      </c>
      <c r="G2" s="1">
        <f t="shared" ref="G2:G28" si="1">E2-C2</f>
        <v>11.899999999999977</v>
      </c>
      <c r="H2" s="1">
        <f t="shared" ref="H2:H28" si="2">F2/G2</f>
        <v>19.941176470588271</v>
      </c>
    </row>
    <row r="3" spans="1:8" x14ac:dyDescent="0.2">
      <c r="A3" s="1">
        <v>5</v>
      </c>
      <c r="B3" s="1">
        <v>3</v>
      </c>
      <c r="C3" s="1">
        <v>987.3</v>
      </c>
      <c r="D3" s="1">
        <v>1295.5999999999999</v>
      </c>
      <c r="E3" s="1">
        <v>1004.2</v>
      </c>
      <c r="F3" s="1">
        <f t="shared" si="0"/>
        <v>308.29999999999995</v>
      </c>
      <c r="G3" s="1">
        <f t="shared" si="1"/>
        <v>16.900000000000091</v>
      </c>
      <c r="H3" s="1">
        <f t="shared" si="2"/>
        <v>18.242603550295758</v>
      </c>
    </row>
    <row r="4" spans="1:8" x14ac:dyDescent="0.2">
      <c r="A4" s="1">
        <v>5</v>
      </c>
      <c r="B4" s="1">
        <v>1</v>
      </c>
      <c r="C4" s="1">
        <v>982</v>
      </c>
      <c r="D4" s="1">
        <v>1390.2</v>
      </c>
      <c r="E4" s="1">
        <v>1003.3</v>
      </c>
      <c r="F4" s="1">
        <f t="shared" si="0"/>
        <v>408.20000000000005</v>
      </c>
      <c r="G4" s="1">
        <f t="shared" si="1"/>
        <v>21.299999999999955</v>
      </c>
      <c r="H4" s="1">
        <f t="shared" si="2"/>
        <v>19.164319248826335</v>
      </c>
    </row>
    <row r="5" spans="1:8" x14ac:dyDescent="0.2">
      <c r="A5" s="1">
        <v>5</v>
      </c>
      <c r="B5" s="1">
        <v>7</v>
      </c>
      <c r="C5" s="1">
        <v>987.3</v>
      </c>
      <c r="D5" s="1">
        <v>1420.1</v>
      </c>
      <c r="E5" s="1">
        <v>1005.2</v>
      </c>
      <c r="F5" s="1">
        <f t="shared" si="0"/>
        <v>432.79999999999995</v>
      </c>
      <c r="G5" s="1">
        <f t="shared" si="1"/>
        <v>17.900000000000091</v>
      </c>
      <c r="H5" s="2" t="s">
        <v>7</v>
      </c>
    </row>
    <row r="6" spans="1:8" x14ac:dyDescent="0.2">
      <c r="A6" s="1">
        <v>5</v>
      </c>
      <c r="B6" s="1">
        <v>6</v>
      </c>
      <c r="C6" s="1">
        <v>987</v>
      </c>
      <c r="D6" s="1">
        <v>1513.5</v>
      </c>
      <c r="E6" s="1">
        <v>1016</v>
      </c>
      <c r="F6" s="1">
        <f t="shared" si="0"/>
        <v>526.5</v>
      </c>
      <c r="G6" s="1">
        <f t="shared" si="1"/>
        <v>29</v>
      </c>
      <c r="H6" s="1">
        <f t="shared" si="2"/>
        <v>18.155172413793103</v>
      </c>
    </row>
    <row r="7" spans="1:8" x14ac:dyDescent="0.2">
      <c r="A7" s="1">
        <v>5</v>
      </c>
      <c r="B7" s="1">
        <v>5</v>
      </c>
      <c r="C7" s="1">
        <v>991</v>
      </c>
      <c r="D7" s="1">
        <v>1565.6</v>
      </c>
      <c r="E7" s="1">
        <v>1009.6</v>
      </c>
      <c r="F7" s="1">
        <f t="shared" si="0"/>
        <v>574.59999999999991</v>
      </c>
      <c r="G7" s="1">
        <f t="shared" si="1"/>
        <v>18.600000000000023</v>
      </c>
      <c r="H7" s="1">
        <f t="shared" si="2"/>
        <v>30.892473118279526</v>
      </c>
    </row>
    <row r="8" spans="1:8" x14ac:dyDescent="0.2">
      <c r="A8" s="1">
        <v>5</v>
      </c>
      <c r="B8" s="1">
        <v>4</v>
      </c>
      <c r="C8" s="1">
        <v>988.6</v>
      </c>
      <c r="D8" s="1">
        <v>1653.7</v>
      </c>
      <c r="E8" s="1">
        <v>1016</v>
      </c>
      <c r="F8" s="1">
        <f t="shared" si="0"/>
        <v>665.1</v>
      </c>
      <c r="G8" s="1">
        <f t="shared" si="1"/>
        <v>27.399999999999977</v>
      </c>
      <c r="H8" s="1">
        <f t="shared" si="2"/>
        <v>24.273722627737246</v>
      </c>
    </row>
    <row r="9" spans="1:8" x14ac:dyDescent="0.2">
      <c r="A9" s="1">
        <v>5</v>
      </c>
      <c r="B9" s="1">
        <v>2</v>
      </c>
      <c r="C9" s="1">
        <v>985.8</v>
      </c>
      <c r="D9" s="1">
        <v>1654.6</v>
      </c>
      <c r="E9" s="1">
        <v>1012.7</v>
      </c>
      <c r="F9" s="1">
        <f t="shared" si="0"/>
        <v>668.8</v>
      </c>
      <c r="G9" s="1">
        <f t="shared" si="1"/>
        <v>26.900000000000091</v>
      </c>
      <c r="H9" s="1">
        <f t="shared" si="2"/>
        <v>24.862453531598426</v>
      </c>
    </row>
    <row r="10" spans="1:8" x14ac:dyDescent="0.2">
      <c r="A10" s="1">
        <v>5</v>
      </c>
      <c r="B10" s="1">
        <v>8</v>
      </c>
      <c r="C10" s="1">
        <v>983</v>
      </c>
      <c r="D10" s="1">
        <v>1679.8</v>
      </c>
      <c r="E10" s="1">
        <v>1010.2</v>
      </c>
      <c r="F10" s="1">
        <f t="shared" si="0"/>
        <v>696.8</v>
      </c>
      <c r="G10" s="1">
        <f t="shared" si="1"/>
        <v>27.200000000000045</v>
      </c>
      <c r="H10" s="1">
        <f t="shared" si="2"/>
        <v>25.617647058823486</v>
      </c>
    </row>
    <row r="11" spans="1:8" x14ac:dyDescent="0.2">
      <c r="A11" s="1">
        <v>7</v>
      </c>
      <c r="B11" s="1">
        <v>9</v>
      </c>
      <c r="C11" s="1">
        <v>994.3</v>
      </c>
      <c r="D11" s="1">
        <v>1365.1</v>
      </c>
      <c r="E11" s="1">
        <v>1008.8</v>
      </c>
      <c r="F11" s="1">
        <f t="shared" si="0"/>
        <v>370.79999999999995</v>
      </c>
      <c r="G11" s="1">
        <f t="shared" si="1"/>
        <v>14.5</v>
      </c>
      <c r="H11" s="1">
        <f t="shared" si="2"/>
        <v>25.572413793103443</v>
      </c>
    </row>
    <row r="12" spans="1:8" x14ac:dyDescent="0.2">
      <c r="A12" s="1">
        <v>7</v>
      </c>
      <c r="B12" s="1">
        <v>3</v>
      </c>
      <c r="C12" s="1">
        <v>979.5</v>
      </c>
      <c r="D12" s="1">
        <v>1395.3</v>
      </c>
      <c r="E12" s="1">
        <v>1003</v>
      </c>
      <c r="F12" s="1">
        <f t="shared" si="0"/>
        <v>415.79999999999995</v>
      </c>
      <c r="G12" s="1">
        <f t="shared" si="1"/>
        <v>23.5</v>
      </c>
      <c r="H12" s="1">
        <f t="shared" si="2"/>
        <v>17.693617021276594</v>
      </c>
    </row>
    <row r="13" spans="1:8" x14ac:dyDescent="0.2">
      <c r="A13" s="1">
        <v>7</v>
      </c>
      <c r="B13" s="1">
        <v>1</v>
      </c>
      <c r="C13" s="1">
        <v>984.9</v>
      </c>
      <c r="D13" s="1">
        <v>1420.6</v>
      </c>
      <c r="E13" s="1">
        <v>1012.3</v>
      </c>
      <c r="F13" s="1">
        <f t="shared" si="0"/>
        <v>435.69999999999993</v>
      </c>
      <c r="G13" s="1">
        <f t="shared" si="1"/>
        <v>27.399999999999977</v>
      </c>
      <c r="H13" s="1">
        <f t="shared" si="2"/>
        <v>15.901459854014609</v>
      </c>
    </row>
    <row r="14" spans="1:8" x14ac:dyDescent="0.2">
      <c r="A14" s="1">
        <v>7</v>
      </c>
      <c r="B14" s="1">
        <v>7</v>
      </c>
      <c r="C14" s="1">
        <v>981.8</v>
      </c>
      <c r="D14" s="1">
        <v>1470.8</v>
      </c>
      <c r="E14" s="1">
        <v>1008.1</v>
      </c>
      <c r="F14" s="1">
        <f t="shared" si="0"/>
        <v>489</v>
      </c>
      <c r="G14" s="1">
        <f t="shared" si="1"/>
        <v>26.300000000000068</v>
      </c>
      <c r="H14" s="1">
        <f t="shared" si="2"/>
        <v>18.593155893536075</v>
      </c>
    </row>
    <row r="15" spans="1:8" x14ac:dyDescent="0.2">
      <c r="A15" s="1">
        <v>7</v>
      </c>
      <c r="B15" s="1">
        <v>2</v>
      </c>
      <c r="C15" s="1">
        <v>981.4</v>
      </c>
      <c r="D15" s="1">
        <v>1660.5</v>
      </c>
      <c r="E15" s="1">
        <v>1021</v>
      </c>
      <c r="F15" s="1">
        <f t="shared" si="0"/>
        <v>679.1</v>
      </c>
      <c r="G15" s="1">
        <f t="shared" si="1"/>
        <v>39.600000000000023</v>
      </c>
      <c r="H15" s="1">
        <f t="shared" si="2"/>
        <v>17.148989898989889</v>
      </c>
    </row>
    <row r="16" spans="1:8" x14ac:dyDescent="0.2">
      <c r="A16" s="1">
        <v>7</v>
      </c>
      <c r="B16" s="1">
        <v>8</v>
      </c>
      <c r="C16" s="1">
        <v>986.4</v>
      </c>
      <c r="D16" s="1">
        <v>1668.2</v>
      </c>
      <c r="E16" s="1">
        <v>1025.0999999999999</v>
      </c>
      <c r="F16" s="1">
        <f t="shared" si="0"/>
        <v>681.80000000000007</v>
      </c>
      <c r="G16" s="1">
        <f t="shared" si="1"/>
        <v>38.699999999999932</v>
      </c>
      <c r="H16" s="1">
        <f t="shared" si="2"/>
        <v>17.617571059431558</v>
      </c>
    </row>
    <row r="17" spans="1:8" x14ac:dyDescent="0.2">
      <c r="A17" s="1">
        <v>7</v>
      </c>
      <c r="B17" s="1">
        <v>5</v>
      </c>
      <c r="C17" s="1">
        <v>982.7</v>
      </c>
      <c r="D17" s="1">
        <v>1908.6</v>
      </c>
      <c r="E17" s="1">
        <v>1031.5999999999999</v>
      </c>
      <c r="F17" s="1">
        <f t="shared" si="0"/>
        <v>925.89999999999986</v>
      </c>
      <c r="G17" s="1">
        <f t="shared" si="1"/>
        <v>48.899999999999864</v>
      </c>
      <c r="H17" s="1">
        <f t="shared" si="2"/>
        <v>18.934560327198415</v>
      </c>
    </row>
    <row r="18" spans="1:8" x14ac:dyDescent="0.2">
      <c r="A18" s="1">
        <v>7</v>
      </c>
      <c r="B18" s="1">
        <v>4</v>
      </c>
      <c r="C18" s="1">
        <v>984</v>
      </c>
      <c r="D18" s="1">
        <v>1954.5</v>
      </c>
      <c r="E18" s="1">
        <v>1052.0999999999999</v>
      </c>
      <c r="F18" s="1">
        <f t="shared" si="0"/>
        <v>970.5</v>
      </c>
      <c r="G18" s="1">
        <f t="shared" si="1"/>
        <v>68.099999999999909</v>
      </c>
      <c r="H18" s="1">
        <f t="shared" si="2"/>
        <v>14.251101321585923</v>
      </c>
    </row>
    <row r="19" spans="1:8" x14ac:dyDescent="0.2">
      <c r="A19" s="1">
        <v>7</v>
      </c>
      <c r="B19" s="1">
        <v>6</v>
      </c>
      <c r="C19" s="1">
        <v>984.2</v>
      </c>
      <c r="D19" s="1">
        <v>2123.5</v>
      </c>
      <c r="E19" s="1">
        <v>1047.8</v>
      </c>
      <c r="F19" s="1">
        <f t="shared" si="0"/>
        <v>1139.3</v>
      </c>
      <c r="G19" s="1">
        <f t="shared" si="1"/>
        <v>63.599999999999909</v>
      </c>
      <c r="H19" s="1">
        <f t="shared" si="2"/>
        <v>17.913522012578643</v>
      </c>
    </row>
    <row r="20" spans="1:8" x14ac:dyDescent="0.2">
      <c r="A20" s="1">
        <v>10</v>
      </c>
      <c r="B20" s="1">
        <v>1</v>
      </c>
      <c r="C20" s="1">
        <v>980.8</v>
      </c>
      <c r="D20" s="1">
        <v>1656.5</v>
      </c>
      <c r="E20" s="1">
        <v>1025</v>
      </c>
      <c r="F20" s="1">
        <f t="shared" si="0"/>
        <v>675.7</v>
      </c>
      <c r="G20" s="1">
        <f t="shared" si="1"/>
        <v>44.200000000000045</v>
      </c>
      <c r="H20" s="1">
        <f t="shared" si="2"/>
        <v>15.287330316742066</v>
      </c>
    </row>
    <row r="21" spans="1:8" x14ac:dyDescent="0.2">
      <c r="A21" s="1">
        <v>10</v>
      </c>
      <c r="B21" s="1">
        <v>9</v>
      </c>
      <c r="C21" s="1">
        <v>989.1</v>
      </c>
      <c r="D21" s="1">
        <v>1695.5</v>
      </c>
      <c r="E21" s="1">
        <v>1029.8</v>
      </c>
      <c r="F21" s="1">
        <f t="shared" si="0"/>
        <v>706.4</v>
      </c>
      <c r="G21" s="1">
        <f t="shared" si="1"/>
        <v>40.699999999999932</v>
      </c>
      <c r="H21" s="1">
        <f t="shared" si="2"/>
        <v>17.356265356265386</v>
      </c>
    </row>
    <row r="22" spans="1:8" x14ac:dyDescent="0.2">
      <c r="A22" s="1">
        <v>10</v>
      </c>
      <c r="B22" s="1">
        <v>3</v>
      </c>
      <c r="C22" s="1">
        <v>983.1</v>
      </c>
      <c r="D22" s="1">
        <v>1745.7</v>
      </c>
      <c r="E22" s="1">
        <v>1027.0999999999999</v>
      </c>
      <c r="F22" s="1">
        <f t="shared" si="0"/>
        <v>762.6</v>
      </c>
      <c r="G22" s="1">
        <f t="shared" si="1"/>
        <v>43.999999999999886</v>
      </c>
      <c r="H22" s="1">
        <f t="shared" si="2"/>
        <v>17.331818181818228</v>
      </c>
    </row>
    <row r="23" spans="1:8" x14ac:dyDescent="0.2">
      <c r="A23" s="1">
        <v>10</v>
      </c>
      <c r="B23" s="1">
        <v>7</v>
      </c>
      <c r="C23" s="1">
        <v>981.7</v>
      </c>
      <c r="D23" s="1">
        <v>1834.6</v>
      </c>
      <c r="E23" s="1">
        <v>1035</v>
      </c>
      <c r="F23" s="1">
        <f t="shared" si="0"/>
        <v>852.89999999999986</v>
      </c>
      <c r="G23" s="1">
        <f t="shared" si="1"/>
        <v>53.299999999999955</v>
      </c>
      <c r="H23" s="1">
        <f t="shared" si="2"/>
        <v>16.00187617260789</v>
      </c>
    </row>
    <row r="24" spans="1:8" x14ac:dyDescent="0.2">
      <c r="A24"/>
      <c r="B24"/>
      <c r="C24"/>
      <c r="D24"/>
      <c r="E24"/>
      <c r="F24"/>
      <c r="G24"/>
      <c r="H24"/>
    </row>
    <row r="25" spans="1:8" x14ac:dyDescent="0.2">
      <c r="A25"/>
      <c r="B25"/>
      <c r="C25"/>
      <c r="D25"/>
      <c r="E25"/>
      <c r="F25"/>
      <c r="G25"/>
      <c r="H25"/>
    </row>
    <row r="26" spans="1:8" x14ac:dyDescent="0.2">
      <c r="A26"/>
      <c r="B26"/>
      <c r="C26"/>
      <c r="D26"/>
      <c r="E26"/>
      <c r="F26"/>
      <c r="G26"/>
      <c r="H26"/>
    </row>
    <row r="27" spans="1:8" x14ac:dyDescent="0.2">
      <c r="A27"/>
      <c r="B27"/>
      <c r="C27"/>
      <c r="D27"/>
      <c r="E27"/>
      <c r="F27"/>
      <c r="G27"/>
      <c r="H27"/>
    </row>
    <row r="28" spans="1:8" x14ac:dyDescent="0.2">
      <c r="A28"/>
      <c r="B28"/>
      <c r="C28"/>
      <c r="D28"/>
      <c r="E28"/>
      <c r="F28"/>
      <c r="G28"/>
      <c r="H28"/>
    </row>
  </sheetData>
  <autoFilter ref="A1:H28" xr:uid="{E1970880-FA73-4D44-9F76-C2129D79D79C}">
    <sortState xmlns:xlrd2="http://schemas.microsoft.com/office/spreadsheetml/2017/richdata2" ref="A2:H28">
      <sortCondition ref="A1:A28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3 - fresh to lyo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Philippini</dc:creator>
  <cp:keywords/>
  <dc:description/>
  <cp:lastModifiedBy>Jara Saluena Martin</cp:lastModifiedBy>
  <cp:revision/>
  <dcterms:created xsi:type="dcterms:W3CDTF">2026-01-06T12:53:01Z</dcterms:created>
  <dcterms:modified xsi:type="dcterms:W3CDTF">2026-08-05T16:37:13Z</dcterms:modified>
  <cp:category/>
  <cp:contentStatus/>
</cp:coreProperties>
</file>