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rics" sheetId="1" state="visible" r:id="rId3"/>
    <sheet name="README" sheetId="2" state="visible" r:id="rId4"/>
    <sheet name="Parameters" sheetId="3" state="visible" r:id="rId5"/>
    <sheet name="Calibration" sheetId="4" state="visible" r:id="rId6"/>
    <sheet name="Glucose" sheetId="5" state="visible" r:id="rId7"/>
    <sheet name="Inpu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4" authorId="0">
      <text>
        <r>
          <rPr>
            <sz val="10"/>
            <rFont val="Arial"/>
            <family val="2"/>
          </rPr>
          <t xml:space="preserve">Excluded (likely well-loading error). Raw OD = 0.097</t>
        </r>
      </text>
    </comment>
    <comment ref="K5" authorId="0">
      <text>
        <r>
          <rPr>
            <sz val="10"/>
            <rFont val="Arial"/>
            <family val="2"/>
          </rPr>
          <t xml:space="preserve">Excluded (likely well-loading error). Raw OD = 0.097</t>
        </r>
      </text>
    </comment>
    <comment ref="K6" authorId="0">
      <text>
        <r>
          <rPr>
            <sz val="10"/>
            <rFont val="Arial"/>
            <family val="2"/>
          </rPr>
          <t xml:space="preserve">Excluded (likely well-loading error). Raw OD = 0.097</t>
        </r>
      </text>
    </comment>
    <comment ref="K7" authorId="0">
      <text>
        <r>
          <rPr>
            <sz val="10"/>
            <rFont val="Arial"/>
            <family val="2"/>
          </rPr>
          <t xml:space="preserve">Excluded (likely well-loading error). Raw OD = 0.097</t>
        </r>
      </text>
    </comment>
    <comment ref="K8" authorId="0">
      <text>
        <r>
          <rPr>
            <sz val="10"/>
            <rFont val="Arial"/>
            <family val="2"/>
          </rPr>
          <t xml:space="preserve">Excluded (likely well-loading error). Raw OD = 0.128</t>
        </r>
      </text>
    </comment>
    <comment ref="K9" authorId="0">
      <text>
        <r>
          <rPr>
            <sz val="10"/>
            <rFont val="Arial"/>
            <family val="2"/>
          </rPr>
          <t xml:space="preserve">Excluded (likely well-loading error). Raw OD = 0.185</t>
        </r>
      </text>
    </comment>
    <comment ref="K10" authorId="0">
      <text>
        <r>
          <rPr>
            <sz val="10"/>
            <rFont val="Arial"/>
            <family val="2"/>
          </rPr>
          <t xml:space="preserve">Excluded (likely well-loading error). Raw OD = 0.324</t>
        </r>
      </text>
    </comment>
  </commentList>
</comments>
</file>

<file path=xl/sharedStrings.xml><?xml version="1.0" encoding="utf-8"?>
<sst xmlns="http://schemas.openxmlformats.org/spreadsheetml/2006/main" count="172" uniqueCount="127">
  <si>
    <t xml:space="preserve">Experiment 1: per-volume metrics (one volume per row, one block per data type)</t>
  </si>
  <si>
    <t xml:space="preserve">All values are formulas traced to Parameters, Calibration, Glucose and Inputs. Per-surface values use the interface area in m².</t>
  </si>
  <si>
    <t xml:space="preserve">1. Geometry</t>
  </si>
  <si>
    <t xml:space="preserve">Volume (mL)</t>
  </si>
  <si>
    <t xml:space="preserve">Volume (L)</t>
  </si>
  <si>
    <t xml:space="preserve">Surface (cm²)</t>
  </si>
  <si>
    <t xml:space="preserve">Surface (m²)</t>
  </si>
  <si>
    <t xml:space="preserve">Liquid height (cm)</t>
  </si>
  <si>
    <t xml:space="preserve">SIA (cm⁻¹)</t>
  </si>
  <si>
    <t xml:space="preserve">2. Substrate supply</t>
  </si>
  <si>
    <t xml:space="preserve">Initial glucose (g L⁻¹)</t>
  </si>
  <si>
    <t xml:space="preserve">Initial glucose per vessel (g)</t>
  </si>
  <si>
    <t xml:space="preserve">Glucose load (g m⁻²)</t>
  </si>
  <si>
    <t xml:space="preserve">3. Glucose, days 0–7</t>
  </si>
  <si>
    <t xml:space="preserve">Residual at day 7 (g L⁻¹)</t>
  </si>
  <si>
    <t xml:space="preserve">Consumed (g L⁻¹)</t>
  </si>
  <si>
    <t xml:space="preserve">Consumed (g)</t>
  </si>
  <si>
    <t xml:space="preserve">Consumed per surface (g m⁻²)</t>
  </si>
  <si>
    <t xml:space="preserve">Consumed (% of initial)</t>
  </si>
  <si>
    <t xml:space="preserve">Mean uptake rate (g L⁻¹ d⁻¹)</t>
  </si>
  <si>
    <t xml:space="preserve">Uptake rate per vessel (g d⁻¹)</t>
  </si>
  <si>
    <t xml:space="preserve">Uptake rate per surface (g m⁻² d⁻¹)</t>
  </si>
  <si>
    <t xml:space="preserve">Remaining at day 7 (g)</t>
  </si>
  <si>
    <t xml:space="preserve">Remaining per surface (g m⁻²)</t>
  </si>
  <si>
    <t xml:space="preserve">4. Glucose, days 7–14 (measured)</t>
  </si>
  <si>
    <t xml:space="preserve">Residual at day 14 (g L⁻¹)</t>
  </si>
  <si>
    <t xml:space="preserve">Remaining at day 14 (g)</t>
  </si>
  <si>
    <t xml:space="preserve">Below detection limit at day 14</t>
  </si>
  <si>
    <t xml:space="preserve">5. Glucose, days 7–14 (Equation 4, active-consumption window)</t>
  </si>
  <si>
    <t xml:space="preserve">Uptake rate (g L⁻¹ d⁻¹)</t>
  </si>
  <si>
    <t xml:space="preserve">6. Biomass and yield, day 7</t>
  </si>
  <si>
    <t xml:space="preserve">Fresh biomass (g)</t>
  </si>
  <si>
    <t xml:space="preserve">Dry biomass (g)</t>
  </si>
  <si>
    <t xml:space="preserve">Dry biomass per surface (g m⁻²)</t>
  </si>
  <si>
    <t xml:space="preserve">Biomass concentration, inoculum-corrected (g L⁻¹)</t>
  </si>
  <si>
    <t xml:space="preserve">Yield on glucose, Yx/s (g g⁻¹)</t>
  </si>
  <si>
    <t xml:space="preserve">7. Biomass and yield, day 14</t>
  </si>
  <si>
    <t xml:space="preserve">8. Biomass and yield, change days 7–14</t>
  </si>
  <si>
    <t xml:space="preserve">Change in dry biomass (g)</t>
  </si>
  <si>
    <t xml:space="preserve">Change in dry biomass per surface (g m⁻²)</t>
  </si>
  <si>
    <t xml:space="preserve">Incremental yield on glucose (g g⁻¹)</t>
  </si>
  <si>
    <t xml:space="preserve">Experiment 1: per-volume metrics (LSSF, Trametes versicolor)</t>
  </si>
  <si>
    <t xml:space="preserve">How to read this workbook</t>
  </si>
  <si>
    <t xml:space="preserve">Blue text = typed inputs (raw data or parameters). Black = formulas. Green = formulas linking to another sheet. Yellow fill = parameter you may want to change.</t>
  </si>
  <si>
    <t xml:space="preserve">Sheets: Parameters -&gt; Calibration (DNS curve) -&gt; Glucose (OD to g/L) and Inputs (biomass, surfaces) -&gt; Metrics (one volume per row, one block per data type).</t>
  </si>
  <si>
    <t xml:space="preserve">Sources</t>
  </si>
  <si>
    <t xml:space="preserve">Glucose OD540: data/raw/Exp1_glucose.xlsx (Plate 1: standards cols 1-3, day 14 cols 4-6; Plate 2: day 7 cols 10-12). Sample dilution 20x.</t>
  </si>
  <si>
    <t xml:space="preserve">Fresh biomass (FBM): data/raw/Exp1_biomass_pH.xlsx, one culture per volume and day.</t>
  </si>
  <si>
    <t xml:space="preserve">Surface areas: vessel geometry, as in Exp1.Rmd (my_surfaces).</t>
  </si>
  <si>
    <t xml:space="preserve">Equation 4 coefficients: R output of lm(glu ~ Time + Volume) after the calibration fix (8 Oct 2026).</t>
  </si>
  <si>
    <t xml:space="preserve">Assumptions and decisions</t>
  </si>
  <si>
    <t xml:space="preserve">1. Medium: 2% glucose monohydrate; initial glucose expressed as anhydrous equivalent (20 x 180.16/198.17 = 18.18 g/L).</t>
  </si>
  <si>
    <t xml:space="preserve">2. Standards prepared from glucose dried at 60 C, treated as anhydrous. DNS reaction at 95 C.</t>
  </si>
  <si>
    <t xml:space="preserve">3. Calibration: linear fit with intercept on the 0.4-2 g/L standards (DNS response is not linear below 0.4 g/L).</t>
  </si>
  <si>
    <t xml:space="preserve">4. Day 14, replicate 1 (Plate 1, column 4) excluded as a likely well-loading error; day-14 means are n = 2.</t>
  </si>
  <si>
    <t xml:space="preserve">5. Values below the detection limit are used as measured unless Parameters!B15 is set to 1 (then set to 0).</t>
  </si>
  <si>
    <t xml:space="preserve">6. Biomass concentration subtracts the inoculum term exactly as in Exp1.Rmd (my_fermparam_df): inoc_bio x V/6/1000.</t>
  </si>
  <si>
    <t xml:space="preserve">7. Days 7-14 mean rates are averages over 7 days; where glucose was depleted early (18-54 mL), the true rate before depletion was higher.</t>
  </si>
  <si>
    <t xml:space="preserve">8. "Per surface" values use the air-liquid interface area in m2.</t>
  </si>
  <si>
    <t xml:space="preserve">Parameters</t>
  </si>
  <si>
    <t xml:space="preserve">Parameter</t>
  </si>
  <si>
    <t xml:space="preserve">Value</t>
  </si>
  <si>
    <t xml:space="preserve">Unit</t>
  </si>
  <si>
    <t xml:space="preserve">Note / source</t>
  </si>
  <si>
    <t xml:space="preserve">Glucose monohydrate in medium</t>
  </si>
  <si>
    <t xml:space="preserve">g/L</t>
  </si>
  <si>
    <t xml:space="preserve">2% (w/v) D-glucose monohydrate in CYM</t>
  </si>
  <si>
    <t xml:space="preserve">Molar mass, anhydrous glucose</t>
  </si>
  <si>
    <t xml:space="preserve">g/mol</t>
  </si>
  <si>
    <t xml:space="preserve">Molar mass, glucose monohydrate</t>
  </si>
  <si>
    <t xml:space="preserve">Initial glucose, s0 (anhydrous)</t>
  </si>
  <si>
    <t xml:space="preserve">Calculated</t>
  </si>
  <si>
    <t xml:space="preserve">First sampling day</t>
  </si>
  <si>
    <t xml:space="preserve">d</t>
  </si>
  <si>
    <t xml:space="preserve">Final sampling day</t>
  </si>
  <si>
    <t xml:space="preserve">Fresh-to-dry biomass factor</t>
  </si>
  <si>
    <t xml:space="preserve">g/g</t>
  </si>
  <si>
    <t xml:space="preserve">Fresh vs lyophilised fit (R2 = 0.970, n = 22)</t>
  </si>
  <si>
    <t xml:space="preserve">Inoculum biomass concentration</t>
  </si>
  <si>
    <t xml:space="preserve">g/mL</t>
  </si>
  <si>
    <t xml:space="preserve">5 g in 18 mL (Exp1.Rmd: inoc_bio)</t>
  </si>
  <si>
    <t xml:space="preserve">Inoculum fraction of culture volume</t>
  </si>
  <si>
    <t xml:space="preserve">-</t>
  </si>
  <si>
    <t xml:space="preserve">Inoculum : CYM = 1 : 5</t>
  </si>
  <si>
    <t xml:space="preserve">Unit factor for inoculum term</t>
  </si>
  <si>
    <t xml:space="preserve">As in Exp1.Rmd (inoc_bio x V/6/1000)</t>
  </si>
  <si>
    <t xml:space="preserve">Standards, in-well dilution</t>
  </si>
  <si>
    <t xml:space="preserve">x</t>
  </si>
  <si>
    <t xml:space="preserve">Samples, dilution</t>
  </si>
  <si>
    <t xml:space="preserve">From Exp1_glucose.xlsx dilution block</t>
  </si>
  <si>
    <t xml:space="preserve">Treat values below detection limit as 0 (1 = yes, 0 = no)</t>
  </si>
  <si>
    <t xml:space="preserve">Default 0 = use measured values</t>
  </si>
  <si>
    <t xml:space="preserve">Equation 4, intercept</t>
  </si>
  <si>
    <t xml:space="preserve">R: lm(glu ~ Time + Volume)</t>
  </si>
  <si>
    <t xml:space="preserve">Equation 4, beta1 (Time)</t>
  </si>
  <si>
    <t xml:space="preserve">g L-1 d-1</t>
  </si>
  <si>
    <t xml:space="preserve">Equation 4, beta2 (Volume)</t>
  </si>
  <si>
    <t xml:space="preserve">g L-1 mL-1</t>
  </si>
  <si>
    <t xml:space="preserve">DNS calibration curve (anhydrous glucose standards)</t>
  </si>
  <si>
    <t xml:space="preserve">Standard (g/L)</t>
  </si>
  <si>
    <t xml:space="preserve">In-well (g/L)</t>
  </si>
  <si>
    <t xml:space="preserve">OD rep 1</t>
  </si>
  <si>
    <t xml:space="preserve">OD rep 2</t>
  </si>
  <si>
    <t xml:space="preserve">OD rep 3</t>
  </si>
  <si>
    <t xml:space="preserve">Mean OD</t>
  </si>
  <si>
    <t xml:space="preserve">Used in fit</t>
  </si>
  <si>
    <t xml:space="preserve">Fit: mean OD = a + b x in-well concentration (standards 0.4-2 g/L, rows 4-8)</t>
  </si>
  <si>
    <t xml:space="preserve">Slope, b (OD per g/L in well)</t>
  </si>
  <si>
    <t xml:space="preserve">Intercept, a (OD)</t>
  </si>
  <si>
    <t xml:space="preserve">R2</t>
  </si>
  <si>
    <t xml:space="preserve">Detection limit in sample (g/L)</t>
  </si>
  <si>
    <t xml:space="preserve">Lowest calibrated standard (in well) x sample dilution</t>
  </si>
  <si>
    <t xml:space="preserve">Residual reducing sugars: OD540 to g/L (conc = max((OD - a)/b, 0) x dilution)</t>
  </si>
  <si>
    <t xml:space="preserve">Day 7 (Plate 2, columns 10-12)</t>
  </si>
  <si>
    <t xml:space="preserve">Day 14 (Plate 1, columns 4-6)</t>
  </si>
  <si>
    <t xml:space="preserve">Dilution</t>
  </si>
  <si>
    <t xml:space="preserve">Conc rep 1 (g/L)</t>
  </si>
  <si>
    <t xml:space="preserve">Conc rep 2 (g/L)</t>
  </si>
  <si>
    <t xml:space="preserve">Conc rep 3 (g/L)</t>
  </si>
  <si>
    <t xml:space="preserve">Mean (g/L)</t>
  </si>
  <si>
    <t xml:space="preserve">Below detection limit</t>
  </si>
  <si>
    <t xml:space="preserve">Day 14, replicate 1 (column K) is left empty on purpose: excluded as a likely well-loading error (raw OD in the cell comment).</t>
  </si>
  <si>
    <t xml:space="preserve">Geometry and biomass inputs</t>
  </si>
  <si>
    <t xml:space="preserve">Surface (cm2)</t>
  </si>
  <si>
    <t xml:space="preserve">Fresh biomass day 7 (g)</t>
  </si>
  <si>
    <t xml:space="preserve">Fresh biomass day 14 (g)</t>
  </si>
  <si>
    <t xml:space="preserve">Surface: vessel geometry (Exp1.Rmd, my_surfaces). Fresh biomass: Exp1_biomass_pH.xlsx (column FBM).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</si>
</sst>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0.000"/>
    <numFmt numFmtId="167" formatCode="0.00"/>
    <numFmt numFmtId="168" formatCode="0.000000"/>
    <numFmt numFmtId="169" formatCode="0"/>
    <numFmt numFmtId="170" formatCode="0.0%"/>
    <numFmt numFmtId="171" formatCode="0.0"/>
    <numFmt numFmtId="172" formatCode="@"/>
    <numFmt numFmtId="173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2" min="2" style="0" width="15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4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</row>
    <row r="5" customFormat="false" ht="48" hidden="false" customHeight="true" outlineLevel="0" collapsed="false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2"/>
      <c r="H5" s="2"/>
      <c r="I5" s="2"/>
      <c r="J5" s="2"/>
      <c r="K5" s="2"/>
      <c r="L5" s="2"/>
    </row>
    <row r="6" customFormat="false" ht="15" hidden="false" customHeight="false" outlineLevel="0" collapsed="false">
      <c r="A6" s="7" t="n">
        <f aca="false">Inputs!A4</f>
        <v>18</v>
      </c>
      <c r="B6" s="8" t="n">
        <f aca="false">A6/1000</f>
        <v>0.018</v>
      </c>
      <c r="C6" s="9" t="n">
        <f aca="false">Inputs!B4</f>
        <v>49.43</v>
      </c>
      <c r="D6" s="10" t="n">
        <f aca="false">C6/10000</f>
        <v>0.004943</v>
      </c>
      <c r="E6" s="11" t="n">
        <f aca="false">A6/C6</f>
        <v>0.364151325106211</v>
      </c>
      <c r="F6" s="11" t="n">
        <f aca="false">C6/A6</f>
        <v>2.74611111111111</v>
      </c>
      <c r="G6" s="2"/>
      <c r="H6" s="2"/>
      <c r="I6" s="2"/>
      <c r="J6" s="2"/>
      <c r="K6" s="2"/>
      <c r="L6" s="2"/>
    </row>
    <row r="7" customFormat="false" ht="15" hidden="false" customHeight="false" outlineLevel="0" collapsed="false">
      <c r="A7" s="7" t="n">
        <f aca="false">Inputs!A5</f>
        <v>36</v>
      </c>
      <c r="B7" s="8" t="n">
        <f aca="false">A7/1000</f>
        <v>0.036</v>
      </c>
      <c r="C7" s="9" t="n">
        <f aca="false">Inputs!B5</f>
        <v>49.85</v>
      </c>
      <c r="D7" s="10" t="n">
        <f aca="false">C7/10000</f>
        <v>0.004985</v>
      </c>
      <c r="E7" s="11" t="n">
        <f aca="false">A7/C7</f>
        <v>0.722166499498495</v>
      </c>
      <c r="F7" s="11" t="n">
        <f aca="false">C7/A7</f>
        <v>1.38472222222222</v>
      </c>
      <c r="G7" s="2"/>
      <c r="H7" s="2"/>
      <c r="I7" s="2"/>
      <c r="J7" s="2"/>
      <c r="K7" s="2"/>
      <c r="L7" s="2"/>
    </row>
    <row r="8" customFormat="false" ht="15" hidden="false" customHeight="false" outlineLevel="0" collapsed="false">
      <c r="A8" s="7" t="n">
        <f aca="false">Inputs!A6</f>
        <v>54</v>
      </c>
      <c r="B8" s="8" t="n">
        <f aca="false">A8/1000</f>
        <v>0.054</v>
      </c>
      <c r="C8" s="9" t="n">
        <f aca="false">Inputs!B6</f>
        <v>50.26</v>
      </c>
      <c r="D8" s="10" t="n">
        <f aca="false">C8/10000</f>
        <v>0.005026</v>
      </c>
      <c r="E8" s="11" t="n">
        <f aca="false">A8/C8</f>
        <v>1.07441305212893</v>
      </c>
      <c r="F8" s="11" t="n">
        <f aca="false">C8/A8</f>
        <v>0.930740740740741</v>
      </c>
      <c r="G8" s="2"/>
      <c r="H8" s="2"/>
      <c r="I8" s="2"/>
      <c r="J8" s="2"/>
      <c r="K8" s="2"/>
      <c r="L8" s="2"/>
    </row>
    <row r="9" customFormat="false" ht="15" hidden="false" customHeight="false" outlineLevel="0" collapsed="false">
      <c r="A9" s="7" t="n">
        <f aca="false">Inputs!A7</f>
        <v>72</v>
      </c>
      <c r="B9" s="8" t="n">
        <f aca="false">A9/1000</f>
        <v>0.072</v>
      </c>
      <c r="C9" s="9" t="n">
        <f aca="false">Inputs!B7</f>
        <v>50.67</v>
      </c>
      <c r="D9" s="10" t="n">
        <f aca="false">C9/10000</f>
        <v>0.005067</v>
      </c>
      <c r="E9" s="11" t="n">
        <f aca="false">A9/C9</f>
        <v>1.42095914742451</v>
      </c>
      <c r="F9" s="11" t="n">
        <f aca="false">C9/A9</f>
        <v>0.70375</v>
      </c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7" t="n">
        <f aca="false">Inputs!A8</f>
        <v>90</v>
      </c>
      <c r="B10" s="8" t="n">
        <f aca="false">A10/1000</f>
        <v>0.09</v>
      </c>
      <c r="C10" s="9" t="n">
        <f aca="false">Inputs!B8</f>
        <v>51.08</v>
      </c>
      <c r="D10" s="10" t="n">
        <f aca="false">C10/10000</f>
        <v>0.005108</v>
      </c>
      <c r="E10" s="11" t="n">
        <f aca="false">A10/C10</f>
        <v>1.76194205168363</v>
      </c>
      <c r="F10" s="11" t="n">
        <f aca="false">C10/A10</f>
        <v>0.567555555555556</v>
      </c>
      <c r="G10" s="2"/>
      <c r="H10" s="2"/>
      <c r="I10" s="2"/>
      <c r="J10" s="2"/>
      <c r="K10" s="2"/>
      <c r="L10" s="2"/>
    </row>
    <row r="11" customFormat="false" ht="15" hidden="false" customHeight="false" outlineLevel="0" collapsed="false">
      <c r="A11" s="7" t="n">
        <f aca="false">Inputs!A9</f>
        <v>108</v>
      </c>
      <c r="B11" s="8" t="n">
        <f aca="false">A11/1000</f>
        <v>0.108</v>
      </c>
      <c r="C11" s="9" t="n">
        <f aca="false">Inputs!B9</f>
        <v>51.49</v>
      </c>
      <c r="D11" s="10" t="n">
        <f aca="false">C11/10000</f>
        <v>0.005149</v>
      </c>
      <c r="E11" s="11" t="n">
        <f aca="false">A11/C11</f>
        <v>2.09749465915712</v>
      </c>
      <c r="F11" s="11" t="n">
        <f aca="false">C11/A11</f>
        <v>0.476759259259259</v>
      </c>
      <c r="G11" s="2"/>
      <c r="H11" s="2"/>
      <c r="I11" s="2"/>
      <c r="J11" s="2"/>
      <c r="K11" s="2"/>
      <c r="L11" s="2"/>
    </row>
    <row r="12" customFormat="false" ht="15" hidden="false" customHeight="false" outlineLevel="0" collapsed="false">
      <c r="A12" s="7" t="n">
        <f aca="false">Inputs!A10</f>
        <v>126</v>
      </c>
      <c r="B12" s="8" t="n">
        <f aca="false">A12/1000</f>
        <v>0.126</v>
      </c>
      <c r="C12" s="9" t="n">
        <f aca="false">Inputs!B10</f>
        <v>51.9</v>
      </c>
      <c r="D12" s="10" t="n">
        <f aca="false">C12/10000</f>
        <v>0.00519</v>
      </c>
      <c r="E12" s="11" t="n">
        <f aca="false">A12/C12</f>
        <v>2.42774566473988</v>
      </c>
      <c r="F12" s="11" t="n">
        <f aca="false">C12/A12</f>
        <v>0.411904761904762</v>
      </c>
      <c r="G12" s="2"/>
      <c r="H12" s="2"/>
      <c r="I12" s="2"/>
      <c r="J12" s="2"/>
      <c r="K12" s="2"/>
      <c r="L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4" t="s">
        <v>9</v>
      </c>
      <c r="B15" s="5"/>
      <c r="C15" s="5"/>
      <c r="D15" s="5"/>
      <c r="E15" s="2"/>
      <c r="F15" s="2"/>
      <c r="G15" s="2"/>
      <c r="H15" s="2"/>
      <c r="I15" s="2"/>
      <c r="J15" s="2"/>
      <c r="K15" s="2"/>
      <c r="L15" s="2"/>
    </row>
    <row r="16" customFormat="false" ht="48" hidden="false" customHeight="true" outlineLevel="0" collapsed="false">
      <c r="A16" s="6" t="s">
        <v>3</v>
      </c>
      <c r="B16" s="6" t="s">
        <v>10</v>
      </c>
      <c r="C16" s="6" t="s">
        <v>11</v>
      </c>
      <c r="D16" s="6" t="s">
        <v>12</v>
      </c>
      <c r="E16" s="2"/>
      <c r="F16" s="2"/>
      <c r="G16" s="2"/>
      <c r="H16" s="2"/>
      <c r="I16" s="2"/>
      <c r="J16" s="2"/>
      <c r="K16" s="2"/>
      <c r="L16" s="2"/>
    </row>
    <row r="17" customFormat="false" ht="15" hidden="false" customHeight="false" outlineLevel="0" collapsed="false">
      <c r="A17" s="7" t="n">
        <f aca="false">Inputs!A4</f>
        <v>18</v>
      </c>
      <c r="B17" s="9" t="n">
        <f aca="false">Parameters!$B$6</f>
        <v>18.1823686733613</v>
      </c>
      <c r="C17" s="8" t="n">
        <f aca="false">B17*B6</f>
        <v>0.327282636120503</v>
      </c>
      <c r="D17" s="12" t="n">
        <f aca="false">C17/D6</f>
        <v>66.2113364597416</v>
      </c>
      <c r="E17" s="2"/>
      <c r="F17" s="2"/>
      <c r="G17" s="2"/>
      <c r="H17" s="2"/>
      <c r="I17" s="2"/>
      <c r="J17" s="2"/>
      <c r="K17" s="2"/>
      <c r="L17" s="2"/>
    </row>
    <row r="18" customFormat="false" ht="15" hidden="false" customHeight="false" outlineLevel="0" collapsed="false">
      <c r="A18" s="7" t="n">
        <f aca="false">Inputs!A5</f>
        <v>36</v>
      </c>
      <c r="B18" s="9" t="n">
        <f aca="false">Parameters!$B$6</f>
        <v>18.1823686733613</v>
      </c>
      <c r="C18" s="8" t="n">
        <f aca="false">B18*B7</f>
        <v>0.654565272241005</v>
      </c>
      <c r="D18" s="12" t="n">
        <f aca="false">C18/D7</f>
        <v>131.306975374324</v>
      </c>
      <c r="E18" s="2"/>
      <c r="F18" s="2"/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7" t="n">
        <f aca="false">Inputs!A6</f>
        <v>54</v>
      </c>
      <c r="B19" s="9" t="n">
        <f aca="false">Parameters!$B$6</f>
        <v>18.1823686733613</v>
      </c>
      <c r="C19" s="8" t="n">
        <f aca="false">B19*B8</f>
        <v>0.981847908361508</v>
      </c>
      <c r="D19" s="12" t="n">
        <f aca="false">C19/D8</f>
        <v>195.353742212795</v>
      </c>
      <c r="E19" s="2"/>
      <c r="F19" s="2"/>
      <c r="G19" s="2"/>
      <c r="H19" s="2"/>
      <c r="I19" s="2"/>
      <c r="J19" s="2"/>
      <c r="K19" s="2"/>
      <c r="L19" s="2"/>
    </row>
    <row r="20" customFormat="false" ht="15" hidden="false" customHeight="false" outlineLevel="0" collapsed="false">
      <c r="A20" s="7" t="n">
        <f aca="false">Inputs!A7</f>
        <v>72</v>
      </c>
      <c r="B20" s="9" t="n">
        <f aca="false">Parameters!$B$6</f>
        <v>18.1823686733613</v>
      </c>
      <c r="C20" s="8" t="n">
        <f aca="false">B20*B9</f>
        <v>1.30913054448201</v>
      </c>
      <c r="D20" s="12" t="n">
        <f aca="false">C20/D9</f>
        <v>258.364030882576</v>
      </c>
      <c r="E20" s="2"/>
      <c r="F20" s="2"/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A21" s="7" t="n">
        <f aca="false">Inputs!A8</f>
        <v>90</v>
      </c>
      <c r="B21" s="9" t="n">
        <f aca="false">Parameters!$B$6</f>
        <v>18.1823686733613</v>
      </c>
      <c r="C21" s="8" t="n">
        <f aca="false">B21*B10</f>
        <v>1.63641318060251</v>
      </c>
      <c r="D21" s="12" t="n">
        <f aca="false">C21/D10</f>
        <v>320.362799648104</v>
      </c>
      <c r="E21" s="2"/>
      <c r="F21" s="2"/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7" t="n">
        <f aca="false">Inputs!A9</f>
        <v>108</v>
      </c>
      <c r="B22" s="9" t="n">
        <f aca="false">Parameters!$B$6</f>
        <v>18.1823686733613</v>
      </c>
      <c r="C22" s="8" t="n">
        <f aca="false">B22*B11</f>
        <v>1.96369581672302</v>
      </c>
      <c r="D22" s="12" t="n">
        <f aca="false">C22/D11</f>
        <v>381.374211832009</v>
      </c>
      <c r="E22" s="2"/>
      <c r="F22" s="2"/>
      <c r="G22" s="2"/>
      <c r="H22" s="2"/>
      <c r="I22" s="2"/>
      <c r="J22" s="2"/>
      <c r="K22" s="2"/>
      <c r="L22" s="2"/>
    </row>
    <row r="23" customFormat="false" ht="15" hidden="false" customHeight="false" outlineLevel="0" collapsed="false">
      <c r="A23" s="7" t="n">
        <f aca="false">Inputs!A10</f>
        <v>126</v>
      </c>
      <c r="B23" s="9" t="n">
        <f aca="false">Parameters!$B$6</f>
        <v>18.1823686733613</v>
      </c>
      <c r="C23" s="8" t="n">
        <f aca="false">B23*B12</f>
        <v>2.29097845284352</v>
      </c>
      <c r="D23" s="12" t="n">
        <f aca="false">C23/D12</f>
        <v>441.421667214551</v>
      </c>
      <c r="E23" s="2"/>
      <c r="F23" s="2"/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5" hidden="false" customHeight="false" outlineLevel="0" collapsed="false">
      <c r="A26" s="4" t="s">
        <v>13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2"/>
    </row>
    <row r="27" customFormat="false" ht="48" hidden="false" customHeight="true" outlineLevel="0" collapsed="false">
      <c r="A27" s="6" t="s">
        <v>3</v>
      </c>
      <c r="B27" s="6" t="s">
        <v>14</v>
      </c>
      <c r="C27" s="6" t="s">
        <v>15</v>
      </c>
      <c r="D27" s="6" t="s">
        <v>16</v>
      </c>
      <c r="E27" s="6" t="s">
        <v>17</v>
      </c>
      <c r="F27" s="6" t="s">
        <v>18</v>
      </c>
      <c r="G27" s="6" t="s">
        <v>19</v>
      </c>
      <c r="H27" s="6" t="s">
        <v>20</v>
      </c>
      <c r="I27" s="6" t="s">
        <v>21</v>
      </c>
      <c r="J27" s="6" t="s">
        <v>22</v>
      </c>
      <c r="K27" s="6" t="s">
        <v>23</v>
      </c>
      <c r="L27" s="2"/>
    </row>
    <row r="28" customFormat="false" ht="15" hidden="false" customHeight="false" outlineLevel="0" collapsed="false">
      <c r="A28" s="7" t="n">
        <f aca="false">Inputs!A4</f>
        <v>18</v>
      </c>
      <c r="B28" s="9" t="n">
        <f aca="false">IF(AND(Parameters!$B$15=1,Glucose!I4&lt;Calibration!$B$16),0,Glucose!I4)</f>
        <v>3.07620371540503</v>
      </c>
      <c r="C28" s="11" t="n">
        <f aca="false">B17-B28</f>
        <v>15.1061649579562</v>
      </c>
      <c r="D28" s="8" t="n">
        <f aca="false">C28*B6</f>
        <v>0.271910969243212</v>
      </c>
      <c r="E28" s="12" t="n">
        <f aca="false">D28/D6</f>
        <v>55.0092998671277</v>
      </c>
      <c r="F28" s="13" t="n">
        <f aca="false">D28/C17</f>
        <v>0.830813918105624</v>
      </c>
      <c r="G28" s="9" t="n">
        <f aca="false">C28/Parameters!$B$7</f>
        <v>2.15802356542232</v>
      </c>
      <c r="H28" s="14" t="n">
        <f aca="false">D28/Parameters!$B$7</f>
        <v>0.0388444241776017</v>
      </c>
      <c r="I28" s="15" t="n">
        <f aca="false">E28/Parameters!$B$7</f>
        <v>7.85847140958967</v>
      </c>
      <c r="J28" s="8" t="n">
        <f aca="false">B28*B6</f>
        <v>0.0553716668772905</v>
      </c>
      <c r="K28" s="12" t="n">
        <f aca="false">J28/D6</f>
        <v>11.2020365926139</v>
      </c>
      <c r="L28" s="2"/>
    </row>
    <row r="29" customFormat="false" ht="15" hidden="false" customHeight="false" outlineLevel="0" collapsed="false">
      <c r="A29" s="7" t="n">
        <f aca="false">Inputs!A5</f>
        <v>36</v>
      </c>
      <c r="B29" s="9" t="n">
        <f aca="false">IF(AND(Parameters!$B$15=1,Glucose!I5&lt;Calibration!$B$16),0,Glucose!I5)</f>
        <v>3.3630481486162</v>
      </c>
      <c r="C29" s="11" t="n">
        <f aca="false">B18-B29</f>
        <v>14.8193205247451</v>
      </c>
      <c r="D29" s="8" t="n">
        <f aca="false">C29*B7</f>
        <v>0.533495538890822</v>
      </c>
      <c r="E29" s="12" t="n">
        <f aca="false">D29/D7</f>
        <v>107.020168283013</v>
      </c>
      <c r="F29" s="13" t="n">
        <f aca="false">D29/C18</f>
        <v>0.815037951928488</v>
      </c>
      <c r="G29" s="9" t="n">
        <f aca="false">C29/Parameters!$B$7</f>
        <v>2.11704578924929</v>
      </c>
      <c r="H29" s="14" t="n">
        <f aca="false">D29/Parameters!$B$7</f>
        <v>0.0762136484129746</v>
      </c>
      <c r="I29" s="15" t="n">
        <f aca="false">E29/Parameters!$B$7</f>
        <v>15.2885954690019</v>
      </c>
      <c r="J29" s="8" t="n">
        <f aca="false">B29*B7</f>
        <v>0.121069733350183</v>
      </c>
      <c r="K29" s="12" t="n">
        <f aca="false">J29/D7</f>
        <v>24.2868070913106</v>
      </c>
      <c r="L29" s="2"/>
    </row>
    <row r="30" customFormat="false" ht="15" hidden="false" customHeight="false" outlineLevel="0" collapsed="false">
      <c r="A30" s="7" t="n">
        <f aca="false">Inputs!A6</f>
        <v>54</v>
      </c>
      <c r="B30" s="9" t="n">
        <f aca="false">IF(AND(Parameters!$B$15=1,Glucose!I6&lt;Calibration!$B$16),0,Glucose!I6)</f>
        <v>5.57199545052445</v>
      </c>
      <c r="C30" s="11" t="n">
        <f aca="false">B19-B30</f>
        <v>12.6103732228368</v>
      </c>
      <c r="D30" s="8" t="n">
        <f aca="false">C30*B8</f>
        <v>0.680960154033187</v>
      </c>
      <c r="E30" s="12" t="n">
        <f aca="false">D30/D8</f>
        <v>135.48749582833</v>
      </c>
      <c r="F30" s="13" t="n">
        <f aca="false">D30/C19</f>
        <v>0.693549528632762</v>
      </c>
      <c r="G30" s="9" t="n">
        <f aca="false">C30/Parameters!$B$7</f>
        <v>1.80148188897669</v>
      </c>
      <c r="H30" s="14" t="n">
        <f aca="false">D30/Parameters!$B$7</f>
        <v>0.0972800220047411</v>
      </c>
      <c r="I30" s="15" t="n">
        <f aca="false">E30/Parameters!$B$7</f>
        <v>19.3553565469043</v>
      </c>
      <c r="J30" s="8" t="n">
        <f aca="false">B30*B8</f>
        <v>0.300887754328321</v>
      </c>
      <c r="K30" s="12" t="n">
        <f aca="false">J30/D8</f>
        <v>59.8662463844649</v>
      </c>
      <c r="L30" s="2"/>
    </row>
    <row r="31" customFormat="false" ht="15" hidden="false" customHeight="false" outlineLevel="0" collapsed="false">
      <c r="A31" s="7" t="n">
        <f aca="false">Inputs!A7</f>
        <v>72</v>
      </c>
      <c r="B31" s="9" t="n">
        <f aca="false">IF(AND(Parameters!$B$15=1,Glucose!I7&lt;Calibration!$B$16),0,Glucose!I7)</f>
        <v>7.00621761658031</v>
      </c>
      <c r="C31" s="11" t="n">
        <f aca="false">B20-B31</f>
        <v>11.1761510567809</v>
      </c>
      <c r="D31" s="8" t="n">
        <f aca="false">C31*B9</f>
        <v>0.804682876088228</v>
      </c>
      <c r="E31" s="12" t="n">
        <f aca="false">D31/D9</f>
        <v>158.80854077131</v>
      </c>
      <c r="F31" s="13" t="n">
        <f aca="false">D31/C20</f>
        <v>0.61466969774708</v>
      </c>
      <c r="G31" s="9" t="n">
        <f aca="false">C31/Parameters!$B$7</f>
        <v>1.59659300811156</v>
      </c>
      <c r="H31" s="14" t="n">
        <f aca="false">D31/Parameters!$B$7</f>
        <v>0.114954696584033</v>
      </c>
      <c r="I31" s="15" t="n">
        <f aca="false">E31/Parameters!$B$7</f>
        <v>22.6869343959014</v>
      </c>
      <c r="J31" s="8" t="n">
        <f aca="false">B31*B9</f>
        <v>0.504447668393782</v>
      </c>
      <c r="K31" s="12" t="n">
        <f aca="false">J31/D9</f>
        <v>99.5554901112655</v>
      </c>
      <c r="L31" s="2"/>
    </row>
    <row r="32" customFormat="false" ht="15" hidden="false" customHeight="false" outlineLevel="0" collapsed="false">
      <c r="A32" s="7" t="n">
        <f aca="false">Inputs!A8</f>
        <v>90</v>
      </c>
      <c r="B32" s="9" t="n">
        <f aca="false">IF(AND(Parameters!$B$15=1,Glucose!I8&lt;Calibration!$B$16),0,Glucose!I8)</f>
        <v>9.43581448249716</v>
      </c>
      <c r="C32" s="11" t="n">
        <f aca="false">B21-B32</f>
        <v>8.7465541908641</v>
      </c>
      <c r="D32" s="8" t="n">
        <f aca="false">C32*B10</f>
        <v>0.787189877177769</v>
      </c>
      <c r="E32" s="12" t="n">
        <f aca="false">D32/D10</f>
        <v>154.109216362132</v>
      </c>
      <c r="F32" s="13" t="n">
        <f aca="false">D32/C21</f>
        <v>0.481045915853558</v>
      </c>
      <c r="G32" s="9" t="n">
        <f aca="false">C32/Parameters!$B$7</f>
        <v>1.24950774155201</v>
      </c>
      <c r="H32" s="14" t="n">
        <f aca="false">D32/Parameters!$B$7</f>
        <v>0.112455696739681</v>
      </c>
      <c r="I32" s="15" t="n">
        <f aca="false">E32/Parameters!$B$7</f>
        <v>22.0156023374474</v>
      </c>
      <c r="J32" s="8" t="n">
        <f aca="false">B32*B10</f>
        <v>0.849223303424744</v>
      </c>
      <c r="K32" s="12" t="n">
        <f aca="false">J32/D10</f>
        <v>166.253583285972</v>
      </c>
      <c r="L32" s="2"/>
    </row>
    <row r="33" customFormat="false" ht="15" hidden="false" customHeight="false" outlineLevel="0" collapsed="false">
      <c r="A33" s="7" t="n">
        <f aca="false">Inputs!A9</f>
        <v>108</v>
      </c>
      <c r="B33" s="9" t="n">
        <f aca="false">IF(AND(Parameters!$B$15=1,Glucose!I9&lt;Calibration!$B$16),0,Glucose!I9)</f>
        <v>8.10701377480096</v>
      </c>
      <c r="C33" s="11" t="n">
        <f aca="false">B22-B33</f>
        <v>10.0753548985603</v>
      </c>
      <c r="D33" s="8" t="n">
        <f aca="false">C33*B11</f>
        <v>1.08813832904451</v>
      </c>
      <c r="E33" s="12" t="n">
        <f aca="false">D33/D11</f>
        <v>211.330030888427</v>
      </c>
      <c r="F33" s="13" t="n">
        <f aca="false">D33/C22</f>
        <v>0.554127742075848</v>
      </c>
      <c r="G33" s="9" t="n">
        <f aca="false">C33/Parameters!$B$7</f>
        <v>1.43933641408004</v>
      </c>
      <c r="H33" s="14" t="n">
        <f aca="false">D33/Parameters!$B$7</f>
        <v>0.155448332720645</v>
      </c>
      <c r="I33" s="15" t="n">
        <f aca="false">E33/Parameters!$B$7</f>
        <v>30.1900044126325</v>
      </c>
      <c r="J33" s="8" t="n">
        <f aca="false">B33*B11</f>
        <v>0.875557487678504</v>
      </c>
      <c r="K33" s="12" t="n">
        <f aca="false">J33/D11</f>
        <v>170.044180943582</v>
      </c>
      <c r="L33" s="2"/>
    </row>
    <row r="34" customFormat="false" ht="15" hidden="false" customHeight="false" outlineLevel="0" collapsed="false">
      <c r="A34" s="7" t="n">
        <f aca="false">Inputs!A10</f>
        <v>126</v>
      </c>
      <c r="B34" s="9" t="n">
        <f aca="false">IF(AND(Parameters!$B$15=1,Glucose!I10&lt;Calibration!$B$16),0,Glucose!I10)</f>
        <v>11.4167572349299</v>
      </c>
      <c r="C34" s="11" t="n">
        <f aca="false">B23-B34</f>
        <v>6.76561143843139</v>
      </c>
      <c r="D34" s="8" t="n">
        <f aca="false">C34*B12</f>
        <v>0.852467041242356</v>
      </c>
      <c r="E34" s="12" t="n">
        <f aca="false">D34/D12</f>
        <v>164.251838389664</v>
      </c>
      <c r="F34" s="13" t="n">
        <f aca="false">D34/C23</f>
        <v>0.372097363108889</v>
      </c>
      <c r="G34" s="9" t="n">
        <f aca="false">C34/Parameters!$B$7</f>
        <v>0.966515919775913</v>
      </c>
      <c r="H34" s="14" t="n">
        <f aca="false">D34/Parameters!$B$7</f>
        <v>0.121781005891765</v>
      </c>
      <c r="I34" s="15" t="n">
        <f aca="false">E34/Parameters!$B$7</f>
        <v>23.4645483413806</v>
      </c>
      <c r="J34" s="8" t="n">
        <f aca="false">B34*B12</f>
        <v>1.43851141160116</v>
      </c>
      <c r="K34" s="12" t="n">
        <f aca="false">J34/D12</f>
        <v>277.169828824887</v>
      </c>
      <c r="L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5" hidden="false" customHeight="false" outlineLevel="0" collapsed="false">
      <c r="A37" s="4" t="s">
        <v>24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customFormat="false" ht="48" hidden="false" customHeight="true" outlineLevel="0" collapsed="false">
      <c r="A38" s="6" t="s">
        <v>3</v>
      </c>
      <c r="B38" s="6" t="s">
        <v>25</v>
      </c>
      <c r="C38" s="6" t="s">
        <v>15</v>
      </c>
      <c r="D38" s="6" t="s">
        <v>16</v>
      </c>
      <c r="E38" s="6" t="s">
        <v>17</v>
      </c>
      <c r="F38" s="6" t="s">
        <v>18</v>
      </c>
      <c r="G38" s="6" t="s">
        <v>19</v>
      </c>
      <c r="H38" s="6" t="s">
        <v>20</v>
      </c>
      <c r="I38" s="6" t="s">
        <v>21</v>
      </c>
      <c r="J38" s="6" t="s">
        <v>26</v>
      </c>
      <c r="K38" s="6" t="s">
        <v>23</v>
      </c>
      <c r="L38" s="6" t="s">
        <v>27</v>
      </c>
    </row>
    <row r="39" customFormat="false" ht="15" hidden="false" customHeight="false" outlineLevel="0" collapsed="false">
      <c r="A39" s="7" t="n">
        <f aca="false">Inputs!A4</f>
        <v>18</v>
      </c>
      <c r="B39" s="9" t="n">
        <f aca="false">IF(AND(Parameters!$B$15=1,Glucose!R4&lt;Calibration!$B$16),0,Glucose!R4)</f>
        <v>0.635574371287754</v>
      </c>
      <c r="C39" s="11" t="n">
        <f aca="false">B28-B39</f>
        <v>2.44062934411728</v>
      </c>
      <c r="D39" s="8" t="n">
        <f aca="false">C39*B6</f>
        <v>0.043931328194111</v>
      </c>
      <c r="E39" s="12" t="n">
        <f aca="false">D39/D6</f>
        <v>8.88758409753408</v>
      </c>
      <c r="F39" s="13" t="n">
        <f aca="false">D39/C17</f>
        <v>0.134230549823413</v>
      </c>
      <c r="G39" s="9" t="n">
        <f aca="false">C39/(Parameters!$B$8-Parameters!$B$7)</f>
        <v>0.348661334873897</v>
      </c>
      <c r="H39" s="14" t="n">
        <f aca="false">D39/(Parameters!$B$8-Parameters!$B$7)</f>
        <v>0.00627590402773014</v>
      </c>
      <c r="I39" s="15" t="n">
        <f aca="false">E39/(Parameters!$B$8-Parameters!$B$7)</f>
        <v>1.2696548710763</v>
      </c>
      <c r="J39" s="8" t="n">
        <f aca="false">B39*B6</f>
        <v>0.0114403386831796</v>
      </c>
      <c r="K39" s="12" t="n">
        <f aca="false">J39/D6</f>
        <v>2.31445249507983</v>
      </c>
      <c r="L39" s="16" t="str">
        <f aca="false">Glucose!S4</f>
        <v>yes</v>
      </c>
    </row>
    <row r="40" customFormat="false" ht="15" hidden="false" customHeight="false" outlineLevel="0" collapsed="false">
      <c r="A40" s="7" t="n">
        <f aca="false">Inputs!A5</f>
        <v>36</v>
      </c>
      <c r="B40" s="9" t="n">
        <f aca="false">IF(AND(Parameters!$B$15=1,Glucose!R5&lt;Calibration!$B$16),0,Glucose!R5)</f>
        <v>0.646606849488184</v>
      </c>
      <c r="C40" s="11" t="n">
        <f aca="false">B29-B40</f>
        <v>2.71644129912802</v>
      </c>
      <c r="D40" s="8" t="n">
        <f aca="false">C40*B7</f>
        <v>0.0977918867686086</v>
      </c>
      <c r="E40" s="12" t="n">
        <f aca="false">D40/D7</f>
        <v>19.6172290408443</v>
      </c>
      <c r="F40" s="13" t="n">
        <f aca="false">D40/C18</f>
        <v>0.149399748070659</v>
      </c>
      <c r="G40" s="9" t="n">
        <f aca="false">C40/(Parameters!$B$8-Parameters!$B$7)</f>
        <v>0.388063042732574</v>
      </c>
      <c r="H40" s="14" t="n">
        <f aca="false">D40/(Parameters!$B$8-Parameters!$B$7)</f>
        <v>0.0139702695383727</v>
      </c>
      <c r="I40" s="15" t="n">
        <f aca="false">E40/(Parameters!$B$8-Parameters!$B$7)</f>
        <v>2.80246129154918</v>
      </c>
      <c r="J40" s="8" t="n">
        <f aca="false">B40*B7</f>
        <v>0.0232778465815746</v>
      </c>
      <c r="K40" s="12" t="n">
        <f aca="false">J40/D7</f>
        <v>4.66957805046632</v>
      </c>
      <c r="L40" s="16" t="str">
        <f aca="false">Glucose!S5</f>
        <v>yes</v>
      </c>
    </row>
    <row r="41" customFormat="false" ht="15" hidden="false" customHeight="false" outlineLevel="0" collapsed="false">
      <c r="A41" s="7" t="n">
        <f aca="false">Inputs!A6</f>
        <v>54</v>
      </c>
      <c r="B41" s="9" t="n">
        <f aca="false">IF(AND(Parameters!$B$15=1,Glucose!R6&lt;Calibration!$B$16),0,Glucose!R6)</f>
        <v>0.664994313155567</v>
      </c>
      <c r="C41" s="11" t="n">
        <f aca="false">B30-B41</f>
        <v>4.90700113736889</v>
      </c>
      <c r="D41" s="8" t="n">
        <f aca="false">C41*B8</f>
        <v>0.26497806141792</v>
      </c>
      <c r="E41" s="12" t="n">
        <f aca="false">D41/D8</f>
        <v>52.7214606880064</v>
      </c>
      <c r="F41" s="13" t="n">
        <f aca="false">D41/C19</f>
        <v>0.269876891483235</v>
      </c>
      <c r="G41" s="9" t="n">
        <f aca="false">C41/(Parameters!$B$8-Parameters!$B$7)</f>
        <v>0.70100016248127</v>
      </c>
      <c r="H41" s="14" t="n">
        <f aca="false">D41/(Parameters!$B$8-Parameters!$B$7)</f>
        <v>0.0378540087739886</v>
      </c>
      <c r="I41" s="15" t="n">
        <f aca="false">E41/(Parameters!$B$8-Parameters!$B$7)</f>
        <v>7.53163724114377</v>
      </c>
      <c r="J41" s="8" t="n">
        <f aca="false">B41*B8</f>
        <v>0.0359096929104006</v>
      </c>
      <c r="K41" s="12" t="n">
        <f aca="false">J41/D8</f>
        <v>7.14478569645854</v>
      </c>
      <c r="L41" s="16" t="str">
        <f aca="false">Glucose!S6</f>
        <v>yes</v>
      </c>
    </row>
    <row r="42" customFormat="false" ht="15" hidden="false" customHeight="false" outlineLevel="0" collapsed="false">
      <c r="A42" s="7" t="n">
        <f aca="false">Inputs!A7</f>
        <v>72</v>
      </c>
      <c r="B42" s="9" t="n">
        <f aca="false">IF(AND(Parameters!$B$15=1,Glucose!R7&lt;Calibration!$B$16),0,Glucose!R7)</f>
        <v>0.631896878554278</v>
      </c>
      <c r="C42" s="11" t="n">
        <f aca="false">B31-B42</f>
        <v>6.37432073802604</v>
      </c>
      <c r="D42" s="8" t="n">
        <f aca="false">C42*B9</f>
        <v>0.458951093137874</v>
      </c>
      <c r="E42" s="12" t="n">
        <f aca="false">D42/D9</f>
        <v>90.5764936131586</v>
      </c>
      <c r="F42" s="13" t="n">
        <f aca="false">D42/C20</f>
        <v>0.350577026158587</v>
      </c>
      <c r="G42" s="9" t="n">
        <f aca="false">C42/(Parameters!$B$8-Parameters!$B$7)</f>
        <v>0.910617248289434</v>
      </c>
      <c r="H42" s="14" t="n">
        <f aca="false">D42/(Parameters!$B$8-Parameters!$B$7)</f>
        <v>0.0655644418768392</v>
      </c>
      <c r="I42" s="15" t="n">
        <f aca="false">E42/(Parameters!$B$8-Parameters!$B$7)</f>
        <v>12.9394990875941</v>
      </c>
      <c r="J42" s="8" t="n">
        <f aca="false">B42*B9</f>
        <v>0.045496575255908</v>
      </c>
      <c r="K42" s="12" t="n">
        <f aca="false">J42/D9</f>
        <v>8.97899649810696</v>
      </c>
      <c r="L42" s="16" t="str">
        <f aca="false">Glucose!S7</f>
        <v>yes</v>
      </c>
    </row>
    <row r="43" customFormat="false" ht="15" hidden="false" customHeight="false" outlineLevel="0" collapsed="false">
      <c r="A43" s="7" t="n">
        <f aca="false">Inputs!A8</f>
        <v>90</v>
      </c>
      <c r="B43" s="9" t="n">
        <f aca="false">IF(AND(Parameters!$B$15=1,Glucose!R8&lt;Calibration!$B$16),0,Glucose!R8)</f>
        <v>1.1614558321749</v>
      </c>
      <c r="C43" s="11" t="n">
        <f aca="false">B32-B43</f>
        <v>8.27435865032226</v>
      </c>
      <c r="D43" s="8" t="n">
        <f aca="false">C43*B10</f>
        <v>0.744692278529003</v>
      </c>
      <c r="E43" s="12" t="n">
        <f aca="false">D43/D10</f>
        <v>145.78940456715</v>
      </c>
      <c r="F43" s="13" t="n">
        <f aca="false">D43/C21</f>
        <v>0.455075947417396</v>
      </c>
      <c r="G43" s="9" t="n">
        <f aca="false">C43/(Parameters!$B$8-Parameters!$B$7)</f>
        <v>1.18205123576032</v>
      </c>
      <c r="H43" s="14" t="n">
        <f aca="false">D43/(Parameters!$B$8-Parameters!$B$7)</f>
        <v>0.106384611218429</v>
      </c>
      <c r="I43" s="15" t="n">
        <f aca="false">E43/(Parameters!$B$8-Parameters!$B$7)</f>
        <v>20.8270577953072</v>
      </c>
      <c r="J43" s="8" t="n">
        <f aca="false">B43*B10</f>
        <v>0.104531024895741</v>
      </c>
      <c r="K43" s="12" t="n">
        <f aca="false">J43/D10</f>
        <v>20.4641787188217</v>
      </c>
      <c r="L43" s="16" t="str">
        <f aca="false">Glucose!S8</f>
        <v>no</v>
      </c>
    </row>
    <row r="44" customFormat="false" ht="15" hidden="false" customHeight="false" outlineLevel="0" collapsed="false">
      <c r="A44" s="7" t="n">
        <f aca="false">Inputs!A9</f>
        <v>108</v>
      </c>
      <c r="B44" s="9" t="n">
        <f aca="false">IF(AND(Parameters!$B$15=1,Glucose!R9&lt;Calibration!$B$16),0,Glucose!R9)</f>
        <v>2.17644382661443</v>
      </c>
      <c r="C44" s="11" t="n">
        <f aca="false">B33-B44</f>
        <v>5.93056994818653</v>
      </c>
      <c r="D44" s="8" t="n">
        <f aca="false">C44*B11</f>
        <v>0.640501554404145</v>
      </c>
      <c r="E44" s="12" t="n">
        <f aca="false">D44/D11</f>
        <v>124.39338792079</v>
      </c>
      <c r="F44" s="13" t="n">
        <f aca="false">D44/C22</f>
        <v>0.326171471645239</v>
      </c>
      <c r="G44" s="9" t="n">
        <f aca="false">C44/(Parameters!$B$8-Parameters!$B$7)</f>
        <v>0.847224278312361</v>
      </c>
      <c r="H44" s="14" t="n">
        <f aca="false">D44/(Parameters!$B$8-Parameters!$B$7)</f>
        <v>0.091500222057735</v>
      </c>
      <c r="I44" s="15" t="n">
        <f aca="false">E44/(Parameters!$B$8-Parameters!$B$7)</f>
        <v>17.7704839886842</v>
      </c>
      <c r="J44" s="8" t="n">
        <f aca="false">B44*B11</f>
        <v>0.235055933274359</v>
      </c>
      <c r="K44" s="12" t="n">
        <f aca="false">J44/D11</f>
        <v>45.6507930227925</v>
      </c>
      <c r="L44" s="16" t="str">
        <f aca="false">Glucose!S9</f>
        <v>no</v>
      </c>
    </row>
    <row r="45" customFormat="false" ht="15" hidden="false" customHeight="false" outlineLevel="0" collapsed="false">
      <c r="A45" s="7" t="n">
        <f aca="false">Inputs!A10</f>
        <v>126</v>
      </c>
      <c r="B45" s="9" t="n">
        <f aca="false">IF(AND(Parameters!$B$15=1,Glucose!R10&lt;Calibration!$B$16),0,Glucose!R10)</f>
        <v>4.31306710476431</v>
      </c>
      <c r="C45" s="11" t="n">
        <f aca="false">B34-B45</f>
        <v>7.10369013016555</v>
      </c>
      <c r="D45" s="8" t="n">
        <f aca="false">C45*B12</f>
        <v>0.895064956400859</v>
      </c>
      <c r="E45" s="12" t="n">
        <f aca="false">D45/D12</f>
        <v>172.459529171649</v>
      </c>
      <c r="F45" s="13" t="n">
        <f aca="false">D45/C23</f>
        <v>0.390691128190194</v>
      </c>
      <c r="G45" s="9" t="n">
        <f aca="false">C45/(Parameters!$B$8-Parameters!$B$7)</f>
        <v>1.01481287573794</v>
      </c>
      <c r="H45" s="14" t="n">
        <f aca="false">D45/(Parameters!$B$8-Parameters!$B$7)</f>
        <v>0.12786642234298</v>
      </c>
      <c r="I45" s="15" t="n">
        <f aca="false">E45/(Parameters!$B$8-Parameters!$B$7)</f>
        <v>24.6370755959499</v>
      </c>
      <c r="J45" s="8" t="n">
        <f aca="false">B45*B12</f>
        <v>0.543446455200303</v>
      </c>
      <c r="K45" s="12" t="n">
        <f aca="false">J45/D12</f>
        <v>104.710299653238</v>
      </c>
      <c r="L45" s="16" t="str">
        <f aca="false">Glucose!S10</f>
        <v>no</v>
      </c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15" hidden="false" customHeight="false" outlineLevel="0" collapsed="false">
      <c r="A48" s="4" t="s">
        <v>28</v>
      </c>
      <c r="B48" s="5"/>
      <c r="C48" s="5"/>
      <c r="D48" s="5"/>
      <c r="E48" s="2"/>
      <c r="F48" s="2"/>
      <c r="G48" s="2"/>
      <c r="H48" s="2"/>
      <c r="I48" s="2"/>
      <c r="J48" s="2"/>
      <c r="K48" s="2"/>
      <c r="L48" s="2"/>
    </row>
    <row r="49" customFormat="false" ht="48" hidden="false" customHeight="true" outlineLevel="0" collapsed="false">
      <c r="A49" s="6" t="s">
        <v>3</v>
      </c>
      <c r="B49" s="6" t="s">
        <v>29</v>
      </c>
      <c r="C49" s="6" t="s">
        <v>20</v>
      </c>
      <c r="D49" s="6" t="s">
        <v>21</v>
      </c>
      <c r="E49" s="2"/>
      <c r="F49" s="2"/>
      <c r="G49" s="2"/>
      <c r="H49" s="2"/>
      <c r="I49" s="2"/>
      <c r="J49" s="2"/>
      <c r="K49" s="2"/>
      <c r="L49" s="2"/>
    </row>
    <row r="50" customFormat="false" ht="15" hidden="false" customHeight="false" outlineLevel="0" collapsed="false">
      <c r="A50" s="7" t="n">
        <f aca="false">Inputs!A4</f>
        <v>18</v>
      </c>
      <c r="B50" s="9" t="n">
        <f aca="false">-Parameters!$B$17</f>
        <v>0.987713</v>
      </c>
      <c r="C50" s="8" t="n">
        <f aca="false">B50*B6</f>
        <v>0.017778834</v>
      </c>
      <c r="D50" s="17" t="n">
        <f aca="false">C50/D6</f>
        <v>3.59676997774631</v>
      </c>
      <c r="E50" s="2"/>
      <c r="F50" s="2"/>
      <c r="G50" s="2"/>
      <c r="H50" s="2"/>
      <c r="I50" s="2"/>
      <c r="J50" s="2"/>
      <c r="K50" s="2"/>
      <c r="L50" s="2"/>
    </row>
    <row r="51" customFormat="false" ht="15" hidden="false" customHeight="false" outlineLevel="0" collapsed="false">
      <c r="A51" s="7" t="n">
        <f aca="false">Inputs!A5</f>
        <v>36</v>
      </c>
      <c r="B51" s="9" t="n">
        <f aca="false">-Parameters!$B$17</f>
        <v>0.987713</v>
      </c>
      <c r="C51" s="8" t="n">
        <f aca="false">B51*B7</f>
        <v>0.035557668</v>
      </c>
      <c r="D51" s="17" t="n">
        <f aca="false">C51/D7</f>
        <v>7.13293239719157</v>
      </c>
      <c r="E51" s="2"/>
      <c r="F51" s="2"/>
      <c r="G51" s="2"/>
      <c r="H51" s="2"/>
      <c r="I51" s="2"/>
      <c r="J51" s="2"/>
      <c r="K51" s="2"/>
      <c r="L51" s="2"/>
    </row>
    <row r="52" customFormat="false" ht="15" hidden="false" customHeight="false" outlineLevel="0" collapsed="false">
      <c r="A52" s="7" t="n">
        <f aca="false">Inputs!A6</f>
        <v>54</v>
      </c>
      <c r="B52" s="9" t="n">
        <f aca="false">-Parameters!$B$17</f>
        <v>0.987713</v>
      </c>
      <c r="C52" s="8" t="n">
        <f aca="false">B52*B8</f>
        <v>0.053336502</v>
      </c>
      <c r="D52" s="17" t="n">
        <f aca="false">C52/D8</f>
        <v>10.6121173895742</v>
      </c>
      <c r="E52" s="2"/>
      <c r="F52" s="2"/>
      <c r="G52" s="2"/>
      <c r="H52" s="2"/>
      <c r="I52" s="2"/>
      <c r="J52" s="2"/>
      <c r="K52" s="2"/>
      <c r="L52" s="2"/>
    </row>
    <row r="53" customFormat="false" ht="15" hidden="false" customHeight="false" outlineLevel="0" collapsed="false">
      <c r="A53" s="7" t="n">
        <f aca="false">Inputs!A7</f>
        <v>72</v>
      </c>
      <c r="B53" s="9" t="n">
        <f aca="false">-Parameters!$B$17</f>
        <v>0.987713</v>
      </c>
      <c r="C53" s="8" t="n">
        <f aca="false">B53*B9</f>
        <v>0.071115336</v>
      </c>
      <c r="D53" s="17" t="n">
        <f aca="false">C53/D9</f>
        <v>14.0349982238011</v>
      </c>
      <c r="E53" s="2"/>
      <c r="F53" s="2"/>
      <c r="G53" s="2"/>
      <c r="H53" s="2"/>
      <c r="I53" s="2"/>
      <c r="J53" s="2"/>
      <c r="K53" s="2"/>
      <c r="L53" s="2"/>
    </row>
    <row r="54" customFormat="false" ht="15" hidden="false" customHeight="false" outlineLevel="0" collapsed="false">
      <c r="A54" s="7" t="n">
        <f aca="false">Inputs!A8</f>
        <v>90</v>
      </c>
      <c r="B54" s="9" t="n">
        <f aca="false">-Parameters!$B$17</f>
        <v>0.987713</v>
      </c>
      <c r="C54" s="8" t="n">
        <f aca="false">B54*B10</f>
        <v>0.08889417</v>
      </c>
      <c r="D54" s="17" t="n">
        <f aca="false">C54/D10</f>
        <v>17.402930696946</v>
      </c>
      <c r="E54" s="2"/>
      <c r="F54" s="2"/>
      <c r="G54" s="2"/>
      <c r="H54" s="2"/>
      <c r="I54" s="2"/>
      <c r="J54" s="2"/>
      <c r="K54" s="2"/>
      <c r="L54" s="2"/>
    </row>
    <row r="55" customFormat="false" ht="15" hidden="false" customHeight="false" outlineLevel="0" collapsed="false">
      <c r="A55" s="7" t="n">
        <f aca="false">Inputs!A9</f>
        <v>108</v>
      </c>
      <c r="B55" s="9" t="n">
        <f aca="false">-Parameters!$B$17</f>
        <v>0.987713</v>
      </c>
      <c r="C55" s="8" t="n">
        <f aca="false">B55*B11</f>
        <v>0.106673004</v>
      </c>
      <c r="D55" s="17" t="n">
        <f aca="false">C55/D11</f>
        <v>20.7172274228005</v>
      </c>
      <c r="E55" s="2"/>
      <c r="F55" s="2"/>
      <c r="G55" s="2"/>
      <c r="H55" s="2"/>
      <c r="I55" s="2"/>
      <c r="J55" s="2"/>
      <c r="K55" s="2"/>
      <c r="L55" s="2"/>
    </row>
    <row r="56" customFormat="false" ht="15" hidden="false" customHeight="false" outlineLevel="0" collapsed="false">
      <c r="A56" s="7" t="n">
        <f aca="false">Inputs!A10</f>
        <v>126</v>
      </c>
      <c r="B56" s="9" t="n">
        <f aca="false">-Parameters!$B$17</f>
        <v>0.987713</v>
      </c>
      <c r="C56" s="8" t="n">
        <f aca="false">B56*B12</f>
        <v>0.124451838</v>
      </c>
      <c r="D56" s="17" t="n">
        <f aca="false">C56/D12</f>
        <v>23.9791595375723</v>
      </c>
      <c r="E56" s="2"/>
      <c r="F56" s="2"/>
      <c r="G56" s="2"/>
      <c r="H56" s="2"/>
      <c r="I56" s="2"/>
      <c r="J56" s="2"/>
      <c r="K56" s="2"/>
      <c r="L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Format="false" ht="15" hidden="false" customHeight="false" outlineLevel="0" collapsed="false">
      <c r="A59" s="4" t="s">
        <v>30</v>
      </c>
      <c r="B59" s="5"/>
      <c r="C59" s="5"/>
      <c r="D59" s="5"/>
      <c r="E59" s="5"/>
      <c r="F59" s="5"/>
      <c r="G59" s="2"/>
      <c r="H59" s="2"/>
      <c r="I59" s="2"/>
      <c r="J59" s="2"/>
      <c r="K59" s="2"/>
      <c r="L59" s="2"/>
    </row>
    <row r="60" customFormat="false" ht="48" hidden="false" customHeight="true" outlineLevel="0" collapsed="false">
      <c r="A60" s="6" t="s">
        <v>3</v>
      </c>
      <c r="B60" s="6" t="s">
        <v>31</v>
      </c>
      <c r="C60" s="6" t="s">
        <v>32</v>
      </c>
      <c r="D60" s="6" t="s">
        <v>33</v>
      </c>
      <c r="E60" s="6" t="s">
        <v>34</v>
      </c>
      <c r="F60" s="6" t="s">
        <v>35</v>
      </c>
      <c r="G60" s="2"/>
      <c r="H60" s="2"/>
      <c r="I60" s="2"/>
      <c r="J60" s="2"/>
      <c r="K60" s="2"/>
      <c r="L60" s="2"/>
    </row>
    <row r="61" customFormat="false" ht="15" hidden="false" customHeight="false" outlineLevel="0" collapsed="false">
      <c r="A61" s="7" t="n">
        <f aca="false">Inputs!A4</f>
        <v>18</v>
      </c>
      <c r="B61" s="9" t="n">
        <f aca="false">Inputs!C4</f>
        <v>3.3</v>
      </c>
      <c r="C61" s="14" t="n">
        <f aca="false">B61*Parameters!$B$9</f>
        <v>0.18051</v>
      </c>
      <c r="D61" s="17" t="n">
        <f aca="false">C61/D6</f>
        <v>36.5183087194012</v>
      </c>
      <c r="E61" s="9" t="n">
        <f aca="false">(C61-Parameters!$B$10*A61*Parameters!$B$11/Parameters!$B$12)/B6</f>
        <v>9.98203703703704</v>
      </c>
      <c r="F61" s="11" t="n">
        <f aca="false">IF(C28&gt;0,E61/C28,"")</f>
        <v>0.660792270230018</v>
      </c>
      <c r="G61" s="2"/>
      <c r="H61" s="2"/>
      <c r="I61" s="2"/>
      <c r="J61" s="2"/>
      <c r="K61" s="2"/>
      <c r="L61" s="2"/>
    </row>
    <row r="62" customFormat="false" ht="15" hidden="false" customHeight="false" outlineLevel="0" collapsed="false">
      <c r="A62" s="7" t="n">
        <f aca="false">Inputs!A5</f>
        <v>36</v>
      </c>
      <c r="B62" s="9" t="n">
        <f aca="false">Inputs!C5</f>
        <v>4.3</v>
      </c>
      <c r="C62" s="14" t="n">
        <f aca="false">B62*Parameters!$B$9</f>
        <v>0.23521</v>
      </c>
      <c r="D62" s="17" t="n">
        <f aca="false">C62/D7</f>
        <v>47.1835506519559</v>
      </c>
      <c r="E62" s="9" t="n">
        <f aca="false">(C62-Parameters!$B$10*A62*Parameters!$B$11/Parameters!$B$12)/B7</f>
        <v>6.48731481481481</v>
      </c>
      <c r="F62" s="11" t="n">
        <f aca="false">IF(C29&gt;0,E62/C29,"")</f>
        <v>0.437760611492437</v>
      </c>
      <c r="G62" s="2"/>
      <c r="H62" s="2"/>
      <c r="I62" s="2"/>
      <c r="J62" s="2"/>
      <c r="K62" s="2"/>
      <c r="L62" s="2"/>
    </row>
    <row r="63" customFormat="false" ht="15" hidden="false" customHeight="false" outlineLevel="0" collapsed="false">
      <c r="A63" s="7" t="n">
        <f aca="false">Inputs!A6</f>
        <v>54</v>
      </c>
      <c r="B63" s="9" t="n">
        <f aca="false">Inputs!C6</f>
        <v>4.7</v>
      </c>
      <c r="C63" s="14" t="n">
        <f aca="false">B63*Parameters!$B$9</f>
        <v>0.25709</v>
      </c>
      <c r="D63" s="17" t="n">
        <f aca="false">C63/D8</f>
        <v>51.1520095503382</v>
      </c>
      <c r="E63" s="9" t="n">
        <f aca="false">(C63-Parameters!$B$10*A63*Parameters!$B$11/Parameters!$B$12)/B8</f>
        <v>4.71462962962963</v>
      </c>
      <c r="F63" s="11" t="n">
        <f aca="false">IF(C30&gt;0,E63/C30,"")</f>
        <v>0.37386915885183</v>
      </c>
      <c r="G63" s="2"/>
      <c r="H63" s="2"/>
      <c r="I63" s="2"/>
      <c r="J63" s="2"/>
      <c r="K63" s="2"/>
      <c r="L63" s="2"/>
    </row>
    <row r="64" customFormat="false" ht="15" hidden="false" customHeight="false" outlineLevel="0" collapsed="false">
      <c r="A64" s="7" t="n">
        <f aca="false">Inputs!A7</f>
        <v>72</v>
      </c>
      <c r="B64" s="9" t="n">
        <f aca="false">Inputs!C7</f>
        <v>4.8</v>
      </c>
      <c r="C64" s="14" t="n">
        <f aca="false">B64*Parameters!$B$9</f>
        <v>0.26256</v>
      </c>
      <c r="D64" s="17" t="n">
        <f aca="false">C64/D9</f>
        <v>51.8176435760805</v>
      </c>
      <c r="E64" s="9" t="n">
        <f aca="false">(C64-Parameters!$B$10*A64*Parameters!$B$11/Parameters!$B$12)/B9</f>
        <v>3.60037037037037</v>
      </c>
      <c r="F64" s="11" t="n">
        <f aca="false">IF(C31&gt;0,E64/C31,"")</f>
        <v>0.322147611648995</v>
      </c>
      <c r="G64" s="2"/>
      <c r="H64" s="2"/>
      <c r="I64" s="2"/>
      <c r="J64" s="2"/>
      <c r="K64" s="2"/>
      <c r="L64" s="2"/>
    </row>
    <row r="65" customFormat="false" ht="15" hidden="false" customHeight="false" outlineLevel="0" collapsed="false">
      <c r="A65" s="7" t="n">
        <f aca="false">Inputs!A8</f>
        <v>90</v>
      </c>
      <c r="B65" s="9" t="n">
        <f aca="false">Inputs!C8</f>
        <v>4.1</v>
      </c>
      <c r="C65" s="14" t="n">
        <f aca="false">B65*Parameters!$B$9</f>
        <v>0.22427</v>
      </c>
      <c r="D65" s="17" t="n">
        <f aca="false">C65/D10</f>
        <v>43.9056382145654</v>
      </c>
      <c r="E65" s="9" t="n">
        <f aca="false">(C65-Parameters!$B$10*A65*Parameters!$B$11/Parameters!$B$12)/B10</f>
        <v>2.44559259259259</v>
      </c>
      <c r="F65" s="11" t="n">
        <f aca="false">IF(C32&gt;0,E65/C32,"")</f>
        <v>0.279606407189136</v>
      </c>
      <c r="G65" s="2"/>
      <c r="H65" s="2"/>
      <c r="I65" s="2"/>
      <c r="J65" s="2"/>
      <c r="K65" s="2"/>
      <c r="L65" s="2"/>
    </row>
    <row r="66" customFormat="false" ht="15" hidden="false" customHeight="false" outlineLevel="0" collapsed="false">
      <c r="A66" s="7" t="n">
        <f aca="false">Inputs!A9</f>
        <v>108</v>
      </c>
      <c r="B66" s="9" t="n">
        <f aca="false">Inputs!C9</f>
        <v>3.6</v>
      </c>
      <c r="C66" s="14" t="n">
        <f aca="false">B66*Parameters!$B$9</f>
        <v>0.19692</v>
      </c>
      <c r="D66" s="17" t="n">
        <f aca="false">C66/D11</f>
        <v>38.2443192852981</v>
      </c>
      <c r="E66" s="9" t="n">
        <f aca="false">(C66-Parameters!$B$10*A66*Parameters!$B$11/Parameters!$B$12)/B11</f>
        <v>1.77703703703704</v>
      </c>
      <c r="F66" s="11" t="n">
        <f aca="false">IF(C33&gt;0,E66/C33,"")</f>
        <v>0.176374634435057</v>
      </c>
      <c r="G66" s="2"/>
      <c r="H66" s="2"/>
      <c r="I66" s="2"/>
      <c r="J66" s="2"/>
      <c r="K66" s="2"/>
      <c r="L66" s="2"/>
    </row>
    <row r="67" customFormat="false" ht="15" hidden="false" customHeight="false" outlineLevel="0" collapsed="false">
      <c r="A67" s="7" t="n">
        <f aca="false">Inputs!A10</f>
        <v>126</v>
      </c>
      <c r="B67" s="9" t="n">
        <f aca="false">Inputs!C10</f>
        <v>1.80875</v>
      </c>
      <c r="C67" s="14" t="n">
        <f aca="false">B67*Parameters!$B$9</f>
        <v>0.098938625</v>
      </c>
      <c r="D67" s="17" t="n">
        <f aca="false">C67/D12</f>
        <v>19.0633188824663</v>
      </c>
      <c r="E67" s="9" t="n">
        <f aca="false">(C67-Parameters!$B$10*A67*Parameters!$B$11/Parameters!$B$12)/B12</f>
        <v>0.738930886243386</v>
      </c>
      <c r="F67" s="11" t="n">
        <f aca="false">IF(C34&gt;0,E67/C34,"")</f>
        <v>0.109218640911886</v>
      </c>
      <c r="G67" s="2"/>
      <c r="H67" s="2"/>
      <c r="I67" s="2"/>
      <c r="J67" s="2"/>
      <c r="K67" s="2"/>
      <c r="L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customFormat="false" ht="15" hidden="false" customHeight="false" outlineLevel="0" collapsed="false">
      <c r="A70" s="4" t="s">
        <v>36</v>
      </c>
      <c r="B70" s="5"/>
      <c r="C70" s="5"/>
      <c r="D70" s="5"/>
      <c r="E70" s="5"/>
      <c r="F70" s="5"/>
      <c r="G70" s="2"/>
      <c r="H70" s="2"/>
      <c r="I70" s="2"/>
      <c r="J70" s="2"/>
      <c r="K70" s="2"/>
      <c r="L70" s="2"/>
    </row>
    <row r="71" customFormat="false" ht="48" hidden="false" customHeight="true" outlineLevel="0" collapsed="false">
      <c r="A71" s="6" t="s">
        <v>3</v>
      </c>
      <c r="B71" s="6" t="s">
        <v>31</v>
      </c>
      <c r="C71" s="6" t="s">
        <v>32</v>
      </c>
      <c r="D71" s="6" t="s">
        <v>33</v>
      </c>
      <c r="E71" s="6" t="s">
        <v>34</v>
      </c>
      <c r="F71" s="6" t="s">
        <v>35</v>
      </c>
      <c r="G71" s="2"/>
      <c r="H71" s="2"/>
      <c r="I71" s="2"/>
      <c r="J71" s="2"/>
      <c r="K71" s="2"/>
      <c r="L71" s="2"/>
    </row>
    <row r="72" customFormat="false" ht="15" hidden="false" customHeight="false" outlineLevel="0" collapsed="false">
      <c r="A72" s="7" t="n">
        <f aca="false">Inputs!A4</f>
        <v>18</v>
      </c>
      <c r="B72" s="9" t="n">
        <f aca="false">Inputs!D4</f>
        <v>1.8</v>
      </c>
      <c r="C72" s="14" t="n">
        <f aca="false">B72*Parameters!$B$9</f>
        <v>0.09846</v>
      </c>
      <c r="D72" s="17" t="n">
        <f aca="false">C72/D6</f>
        <v>19.9190774833097</v>
      </c>
      <c r="E72" s="9" t="n">
        <f aca="false">(C72-Parameters!$B$10*A72*Parameters!$B$11/Parameters!$B$12)/B6</f>
        <v>5.4237037037037</v>
      </c>
      <c r="F72" s="11" t="n">
        <f aca="false">IF((C28+C39)&gt;0,E72/(C28+C39),"")</f>
        <v>0.309099406440457</v>
      </c>
      <c r="G72" s="2"/>
      <c r="H72" s="2"/>
      <c r="I72" s="2"/>
      <c r="J72" s="2"/>
      <c r="K72" s="2"/>
      <c r="L72" s="2"/>
    </row>
    <row r="73" customFormat="false" ht="15" hidden="false" customHeight="false" outlineLevel="0" collapsed="false">
      <c r="A73" s="7" t="n">
        <f aca="false">Inputs!A5</f>
        <v>36</v>
      </c>
      <c r="B73" s="9" t="n">
        <f aca="false">Inputs!D5</f>
        <v>2.7</v>
      </c>
      <c r="C73" s="14" t="n">
        <f aca="false">B73*Parameters!$B$9</f>
        <v>0.14769</v>
      </c>
      <c r="D73" s="17" t="n">
        <f aca="false">C73/D7</f>
        <v>29.6268806419258</v>
      </c>
      <c r="E73" s="9" t="n">
        <f aca="false">(C73-Parameters!$B$10*A73*Parameters!$B$11/Parameters!$B$12)/B7</f>
        <v>4.0562037037037</v>
      </c>
      <c r="F73" s="11" t="n">
        <f aca="false">IF((C29+C40)&gt;0,E73/(C29+C40),"")</f>
        <v>0.231310378439425</v>
      </c>
      <c r="G73" s="2"/>
      <c r="H73" s="2"/>
      <c r="I73" s="2"/>
      <c r="J73" s="2"/>
      <c r="K73" s="2"/>
      <c r="L73" s="2"/>
    </row>
    <row r="74" customFormat="false" ht="15" hidden="false" customHeight="false" outlineLevel="0" collapsed="false">
      <c r="A74" s="7" t="n">
        <f aca="false">Inputs!A6</f>
        <v>54</v>
      </c>
      <c r="B74" s="9" t="n">
        <f aca="false">Inputs!D6</f>
        <v>4.7</v>
      </c>
      <c r="C74" s="14" t="n">
        <f aca="false">B74*Parameters!$B$9</f>
        <v>0.25709</v>
      </c>
      <c r="D74" s="17" t="n">
        <f aca="false">C74/D8</f>
        <v>51.1520095503382</v>
      </c>
      <c r="E74" s="9" t="n">
        <f aca="false">(C74-Parameters!$B$10*A74*Parameters!$B$11/Parameters!$B$12)/B8</f>
        <v>4.71462962962963</v>
      </c>
      <c r="F74" s="11" t="n">
        <f aca="false">IF((C30+C41)&gt;0,E74/(C30+C41),"")</f>
        <v>0.269140199477604</v>
      </c>
      <c r="G74" s="2"/>
      <c r="H74" s="2"/>
      <c r="I74" s="2"/>
      <c r="J74" s="2"/>
      <c r="K74" s="2"/>
      <c r="L74" s="2"/>
    </row>
    <row r="75" customFormat="false" ht="15" hidden="false" customHeight="false" outlineLevel="0" collapsed="false">
      <c r="A75" s="7" t="n">
        <f aca="false">Inputs!A7</f>
        <v>72</v>
      </c>
      <c r="B75" s="9" t="n">
        <f aca="false">Inputs!D7</f>
        <v>6.7</v>
      </c>
      <c r="C75" s="14" t="n">
        <f aca="false">B75*Parameters!$B$9</f>
        <v>0.36649</v>
      </c>
      <c r="D75" s="17" t="n">
        <f aca="false">C75/D9</f>
        <v>72.3287941582791</v>
      </c>
      <c r="E75" s="9" t="n">
        <f aca="false">(C75-Parameters!$B$10*A75*Parameters!$B$11/Parameters!$B$12)/B9</f>
        <v>5.04384259259259</v>
      </c>
      <c r="F75" s="11" t="n">
        <f aca="false">IF((C31+C42)&gt;0,E75/(C31+C42),"")</f>
        <v>0.287390712430022</v>
      </c>
      <c r="G75" s="2"/>
      <c r="H75" s="2"/>
      <c r="I75" s="2"/>
      <c r="J75" s="2"/>
      <c r="K75" s="2"/>
      <c r="L75" s="2"/>
    </row>
    <row r="76" customFormat="false" ht="15" hidden="false" customHeight="false" outlineLevel="0" collapsed="false">
      <c r="A76" s="7" t="n">
        <f aca="false">Inputs!A8</f>
        <v>90</v>
      </c>
      <c r="B76" s="9" t="n">
        <f aca="false">Inputs!D8</f>
        <v>8.1</v>
      </c>
      <c r="C76" s="14" t="n">
        <f aca="false">B76*Parameters!$B$9</f>
        <v>0.44307</v>
      </c>
      <c r="D76" s="17" t="n">
        <f aca="false">C76/D10</f>
        <v>86.7404072043853</v>
      </c>
      <c r="E76" s="9" t="n">
        <f aca="false">(C76-Parameters!$B$10*A76*Parameters!$B$11/Parameters!$B$12)/B10</f>
        <v>4.8767037037037</v>
      </c>
      <c r="F76" s="11" t="n">
        <f aca="false">IF((C32+C43)&gt;0,E76/(C32+C43),"")</f>
        <v>0.286512465530245</v>
      </c>
      <c r="G76" s="2"/>
      <c r="H76" s="2"/>
      <c r="I76" s="2"/>
      <c r="J76" s="2"/>
      <c r="K76" s="2"/>
      <c r="L76" s="2"/>
    </row>
    <row r="77" customFormat="false" ht="15" hidden="false" customHeight="false" outlineLevel="0" collapsed="false">
      <c r="A77" s="7" t="n">
        <f aca="false">Inputs!A9</f>
        <v>108</v>
      </c>
      <c r="B77" s="9" t="n">
        <f aca="false">Inputs!D9</f>
        <v>8.3</v>
      </c>
      <c r="C77" s="14" t="n">
        <f aca="false">B77*Parameters!$B$9</f>
        <v>0.45401</v>
      </c>
      <c r="D77" s="17" t="n">
        <f aca="false">C77/D11</f>
        <v>88.1744027966596</v>
      </c>
      <c r="E77" s="9" t="n">
        <f aca="false">(C77-Parameters!$B$10*A77*Parameters!$B$11/Parameters!$B$12)/B11</f>
        <v>4.1575</v>
      </c>
      <c r="F77" s="11" t="n">
        <f aca="false">IF((C33+C44)&gt;0,E77/(C33+C44),"")</f>
        <v>0.259747564717887</v>
      </c>
      <c r="G77" s="2"/>
      <c r="H77" s="2"/>
      <c r="I77" s="2"/>
      <c r="J77" s="2"/>
      <c r="K77" s="2"/>
      <c r="L77" s="2"/>
    </row>
    <row r="78" customFormat="false" ht="15" hidden="false" customHeight="false" outlineLevel="0" collapsed="false">
      <c r="A78" s="7" t="n">
        <f aca="false">Inputs!A10</f>
        <v>126</v>
      </c>
      <c r="B78" s="9" t="n">
        <f aca="false">Inputs!D10</f>
        <v>7.4</v>
      </c>
      <c r="C78" s="14" t="n">
        <f aca="false">B78*Parameters!$B$9</f>
        <v>0.40478</v>
      </c>
      <c r="D78" s="17" t="n">
        <f aca="false">C78/D12</f>
        <v>77.9922928709056</v>
      </c>
      <c r="E78" s="9" t="n">
        <f aca="false">(C78-Parameters!$B$10*A78*Parameters!$B$11/Parameters!$B$12)/B12</f>
        <v>3.16624338624339</v>
      </c>
      <c r="F78" s="11" t="n">
        <f aca="false">IF((C34+C45)&gt;0,E78/(C34+C45),"")</f>
        <v>0.228291480330375</v>
      </c>
      <c r="G78" s="2"/>
      <c r="H78" s="2"/>
      <c r="I78" s="2"/>
      <c r="J78" s="2"/>
      <c r="K78" s="2"/>
      <c r="L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customFormat="false" ht="15" hidden="false" customHeight="false" outlineLevel="0" collapsed="false">
      <c r="A81" s="4" t="s">
        <v>37</v>
      </c>
      <c r="B81" s="5"/>
      <c r="C81" s="5"/>
      <c r="D81" s="5"/>
      <c r="E81" s="2"/>
      <c r="F81" s="2"/>
      <c r="G81" s="2"/>
      <c r="H81" s="2"/>
      <c r="I81" s="2"/>
      <c r="J81" s="2"/>
      <c r="K81" s="2"/>
      <c r="L81" s="2"/>
    </row>
    <row r="82" customFormat="false" ht="48" hidden="false" customHeight="true" outlineLevel="0" collapsed="false">
      <c r="A82" s="6" t="s">
        <v>3</v>
      </c>
      <c r="B82" s="6" t="s">
        <v>38</v>
      </c>
      <c r="C82" s="6" t="s">
        <v>39</v>
      </c>
      <c r="D82" s="6" t="s">
        <v>40</v>
      </c>
      <c r="E82" s="2"/>
      <c r="F82" s="2"/>
      <c r="G82" s="2"/>
      <c r="H82" s="2"/>
      <c r="I82" s="2"/>
      <c r="J82" s="2"/>
      <c r="K82" s="2"/>
      <c r="L82" s="2"/>
    </row>
    <row r="83" customFormat="false" ht="15" hidden="false" customHeight="false" outlineLevel="0" collapsed="false">
      <c r="A83" s="7" t="n">
        <f aca="false">Inputs!A4</f>
        <v>18</v>
      </c>
      <c r="B83" s="8" t="n">
        <f aca="false">C72-C61</f>
        <v>-0.08205</v>
      </c>
      <c r="C83" s="17" t="n">
        <f aca="false">B83/D6</f>
        <v>-16.5992312360914</v>
      </c>
      <c r="D83" s="11" t="n">
        <f aca="false">IF(D39&gt;0,B83/D39,"")</f>
        <v>-1.8676876701169</v>
      </c>
      <c r="E83" s="2"/>
      <c r="F83" s="2"/>
      <c r="G83" s="2"/>
      <c r="H83" s="2"/>
      <c r="I83" s="2"/>
      <c r="J83" s="2"/>
      <c r="K83" s="2"/>
      <c r="L83" s="2"/>
    </row>
    <row r="84" customFormat="false" ht="15" hidden="false" customHeight="false" outlineLevel="0" collapsed="false">
      <c r="A84" s="7" t="n">
        <f aca="false">Inputs!A5</f>
        <v>36</v>
      </c>
      <c r="B84" s="8" t="n">
        <f aca="false">C73-C62</f>
        <v>-0.08752</v>
      </c>
      <c r="C84" s="17" t="n">
        <f aca="false">B84/D7</f>
        <v>-17.5566700100301</v>
      </c>
      <c r="D84" s="11" t="n">
        <f aca="false">IF(D40&gt;0,B84/D40,"")</f>
        <v>-0.894961769242538</v>
      </c>
      <c r="E84" s="2"/>
      <c r="F84" s="2"/>
      <c r="G84" s="2"/>
      <c r="H84" s="2"/>
      <c r="I84" s="2"/>
      <c r="J84" s="2"/>
      <c r="K84" s="2"/>
      <c r="L84" s="2"/>
    </row>
    <row r="85" customFormat="false" ht="15" hidden="false" customHeight="false" outlineLevel="0" collapsed="false">
      <c r="A85" s="7" t="n">
        <f aca="false">Inputs!A6</f>
        <v>54</v>
      </c>
      <c r="B85" s="8" t="n">
        <f aca="false">C74-C63</f>
        <v>0</v>
      </c>
      <c r="C85" s="17" t="n">
        <f aca="false">B85/D8</f>
        <v>0</v>
      </c>
      <c r="D85" s="11" t="n">
        <f aca="false">IF(D41&gt;0,B85/D41,"")</f>
        <v>0</v>
      </c>
      <c r="E85" s="2"/>
      <c r="F85" s="2"/>
      <c r="G85" s="2"/>
      <c r="H85" s="2"/>
      <c r="I85" s="2"/>
      <c r="J85" s="2"/>
      <c r="K85" s="2"/>
      <c r="L85" s="2"/>
    </row>
    <row r="86" customFormat="false" ht="15" hidden="false" customHeight="false" outlineLevel="0" collapsed="false">
      <c r="A86" s="7" t="n">
        <f aca="false">Inputs!A7</f>
        <v>72</v>
      </c>
      <c r="B86" s="8" t="n">
        <f aca="false">C75-C64</f>
        <v>0.10393</v>
      </c>
      <c r="C86" s="17" t="n">
        <f aca="false">B86/D9</f>
        <v>20.5111505821985</v>
      </c>
      <c r="D86" s="11" t="n">
        <f aca="false">IF(D42&gt;0,B86/D42,"")</f>
        <v>0.226451143823244</v>
      </c>
      <c r="E86" s="2"/>
      <c r="F86" s="2"/>
      <c r="G86" s="2"/>
      <c r="H86" s="2"/>
      <c r="I86" s="2"/>
      <c r="J86" s="2"/>
      <c r="K86" s="2"/>
      <c r="L86" s="2"/>
    </row>
    <row r="87" customFormat="false" ht="15" hidden="false" customHeight="false" outlineLevel="0" collapsed="false">
      <c r="A87" s="7" t="n">
        <f aca="false">Inputs!A8</f>
        <v>90</v>
      </c>
      <c r="B87" s="8" t="n">
        <f aca="false">C76-C65</f>
        <v>0.2188</v>
      </c>
      <c r="C87" s="17" t="n">
        <f aca="false">B87/D10</f>
        <v>42.8347689898199</v>
      </c>
      <c r="D87" s="11" t="n">
        <f aca="false">IF(D43&gt;0,B87/D43,"")</f>
        <v>0.293812634169106</v>
      </c>
      <c r="E87" s="2"/>
      <c r="F87" s="2"/>
      <c r="G87" s="2"/>
      <c r="H87" s="2"/>
      <c r="I87" s="2"/>
      <c r="J87" s="2"/>
      <c r="K87" s="2"/>
      <c r="L87" s="2"/>
    </row>
    <row r="88" customFormat="false" ht="15" hidden="false" customHeight="false" outlineLevel="0" collapsed="false">
      <c r="A88" s="7" t="n">
        <f aca="false">Inputs!A9</f>
        <v>108</v>
      </c>
      <c r="B88" s="8" t="n">
        <f aca="false">C77-C66</f>
        <v>0.25709</v>
      </c>
      <c r="C88" s="17" t="n">
        <f aca="false">B88/D11</f>
        <v>49.9300835113614</v>
      </c>
      <c r="D88" s="11" t="n">
        <f aca="false">IF(D44&gt;0,B88/D44,"")</f>
        <v>0.401388565308275</v>
      </c>
      <c r="E88" s="2"/>
      <c r="F88" s="2"/>
      <c r="G88" s="2"/>
      <c r="H88" s="2"/>
      <c r="I88" s="2"/>
      <c r="J88" s="2"/>
      <c r="K88" s="2"/>
      <c r="L88" s="2"/>
    </row>
    <row r="89" customFormat="false" ht="15" hidden="false" customHeight="false" outlineLevel="0" collapsed="false">
      <c r="A89" s="7" t="n">
        <f aca="false">Inputs!A10</f>
        <v>126</v>
      </c>
      <c r="B89" s="8" t="n">
        <f aca="false">C78-C67</f>
        <v>0.305841375</v>
      </c>
      <c r="C89" s="17" t="n">
        <f aca="false">B89/D12</f>
        <v>58.9289739884393</v>
      </c>
      <c r="D89" s="11" t="n">
        <f aca="false">IF(D45&gt;0,B89/D45,"")</f>
        <v>0.341697407336577</v>
      </c>
      <c r="E89" s="2"/>
      <c r="F89" s="2"/>
      <c r="G89" s="2"/>
      <c r="H89" s="2"/>
      <c r="I89" s="2"/>
      <c r="J89" s="2"/>
      <c r="K89" s="2"/>
      <c r="L8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41</v>
      </c>
    </row>
    <row r="2" customFormat="false" ht="15" hidden="false" customHeight="false" outlineLevel="0" collapsed="false">
      <c r="A2" s="3"/>
    </row>
    <row r="3" customFormat="false" ht="15" hidden="false" customHeight="false" outlineLevel="0" collapsed="false">
      <c r="A3" s="18" t="s">
        <v>42</v>
      </c>
    </row>
    <row r="4" customFormat="false" ht="15" hidden="false" customHeight="false" outlineLevel="0" collapsed="false">
      <c r="A4" s="3" t="s">
        <v>43</v>
      </c>
    </row>
    <row r="5" customFormat="false" ht="15" hidden="false" customHeight="false" outlineLevel="0" collapsed="false">
      <c r="A5" s="3" t="s">
        <v>44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18" t="s">
        <v>45</v>
      </c>
    </row>
    <row r="8" customFormat="false" ht="15" hidden="false" customHeight="false" outlineLevel="0" collapsed="false">
      <c r="A8" s="3" t="s">
        <v>46</v>
      </c>
    </row>
    <row r="9" customFormat="false" ht="15" hidden="false" customHeight="false" outlineLevel="0" collapsed="false">
      <c r="A9" s="3" t="s">
        <v>47</v>
      </c>
    </row>
    <row r="10" customFormat="false" ht="15" hidden="false" customHeight="false" outlineLevel="0" collapsed="false">
      <c r="A10" s="3" t="s">
        <v>48</v>
      </c>
    </row>
    <row r="11" customFormat="false" ht="15" hidden="false" customHeight="false" outlineLevel="0" collapsed="false">
      <c r="A11" s="3" t="s">
        <v>49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18" t="s">
        <v>50</v>
      </c>
    </row>
    <row r="14" customFormat="false" ht="15" hidden="false" customHeight="false" outlineLevel="0" collapsed="false">
      <c r="A14" s="3" t="s">
        <v>51</v>
      </c>
    </row>
    <row r="15" customFormat="false" ht="15" hidden="false" customHeight="false" outlineLevel="0" collapsed="false">
      <c r="A15" s="3" t="s">
        <v>52</v>
      </c>
    </row>
    <row r="16" customFormat="false" ht="15" hidden="false" customHeight="false" outlineLevel="0" collapsed="false">
      <c r="A16" s="3" t="s">
        <v>53</v>
      </c>
    </row>
    <row r="17" customFormat="false" ht="15" hidden="false" customHeight="false" outlineLevel="0" collapsed="false">
      <c r="A17" s="3" t="s">
        <v>54</v>
      </c>
    </row>
    <row r="18" customFormat="false" ht="15" hidden="false" customHeight="false" outlineLevel="0" collapsed="false">
      <c r="A18" s="3" t="s">
        <v>55</v>
      </c>
    </row>
    <row r="19" customFormat="false" ht="15" hidden="false" customHeight="false" outlineLevel="0" collapsed="false">
      <c r="A19" s="3" t="s">
        <v>56</v>
      </c>
    </row>
    <row r="20" customFormat="false" ht="15" hidden="false" customHeight="false" outlineLevel="0" collapsed="false">
      <c r="A20" s="3" t="s">
        <v>57</v>
      </c>
    </row>
    <row r="21" customFormat="false" ht="15" hidden="false" customHeight="false" outlineLevel="0" collapsed="false">
      <c r="A21" s="3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8"/>
  </cols>
  <sheetData>
    <row r="1" customFormat="false" ht="16.15" hidden="false" customHeight="false" outlineLevel="0" collapsed="false">
      <c r="A1" s="1" t="s">
        <v>59</v>
      </c>
      <c r="B1" s="2"/>
      <c r="C1" s="2"/>
      <c r="D1" s="2"/>
    </row>
    <row r="2" customFormat="false" ht="15" hidden="false" customHeight="false" outlineLevel="0" collapsed="false">
      <c r="A2" s="19" t="s">
        <v>60</v>
      </c>
      <c r="B2" s="19" t="s">
        <v>61</v>
      </c>
      <c r="C2" s="19" t="s">
        <v>62</v>
      </c>
      <c r="D2" s="19" t="s">
        <v>63</v>
      </c>
    </row>
    <row r="3" customFormat="false" ht="15" hidden="false" customHeight="false" outlineLevel="0" collapsed="false">
      <c r="A3" s="3" t="s">
        <v>64</v>
      </c>
      <c r="B3" s="20" t="n">
        <v>20</v>
      </c>
      <c r="C3" s="3" t="s">
        <v>65</v>
      </c>
      <c r="D3" s="3" t="s">
        <v>66</v>
      </c>
    </row>
    <row r="4" customFormat="false" ht="15" hidden="false" customHeight="false" outlineLevel="0" collapsed="false">
      <c r="A4" s="3" t="s">
        <v>67</v>
      </c>
      <c r="B4" s="21" t="n">
        <v>180.16</v>
      </c>
      <c r="C4" s="3" t="s">
        <v>68</v>
      </c>
      <c r="D4" s="3"/>
    </row>
    <row r="5" customFormat="false" ht="15" hidden="false" customHeight="false" outlineLevel="0" collapsed="false">
      <c r="A5" s="3" t="s">
        <v>69</v>
      </c>
      <c r="B5" s="21" t="n">
        <v>198.17</v>
      </c>
      <c r="C5" s="3" t="s">
        <v>68</v>
      </c>
      <c r="D5" s="3"/>
    </row>
    <row r="6" customFormat="false" ht="15" hidden="false" customHeight="false" outlineLevel="0" collapsed="false">
      <c r="A6" s="3" t="s">
        <v>70</v>
      </c>
      <c r="B6" s="22" t="n">
        <f aca="false">B3*B4/B5</f>
        <v>18.1823686733613</v>
      </c>
      <c r="C6" s="3" t="s">
        <v>65</v>
      </c>
      <c r="D6" s="3" t="s">
        <v>71</v>
      </c>
    </row>
    <row r="7" customFormat="false" ht="15" hidden="false" customHeight="false" outlineLevel="0" collapsed="false">
      <c r="A7" s="3" t="s">
        <v>72</v>
      </c>
      <c r="B7" s="21" t="n">
        <v>7</v>
      </c>
      <c r="C7" s="3" t="s">
        <v>73</v>
      </c>
      <c r="D7" s="3"/>
    </row>
    <row r="8" customFormat="false" ht="15" hidden="false" customHeight="false" outlineLevel="0" collapsed="false">
      <c r="A8" s="3" t="s">
        <v>74</v>
      </c>
      <c r="B8" s="21" t="n">
        <v>14</v>
      </c>
      <c r="C8" s="3" t="s">
        <v>73</v>
      </c>
      <c r="D8" s="3"/>
    </row>
    <row r="9" customFormat="false" ht="15" hidden="false" customHeight="false" outlineLevel="0" collapsed="false">
      <c r="A9" s="3" t="s">
        <v>75</v>
      </c>
      <c r="B9" s="20" t="n">
        <v>0.0547</v>
      </c>
      <c r="C9" s="3" t="s">
        <v>76</v>
      </c>
      <c r="D9" s="3" t="s">
        <v>77</v>
      </c>
    </row>
    <row r="10" customFormat="false" ht="15" hidden="false" customHeight="false" outlineLevel="0" collapsed="false">
      <c r="A10" s="3" t="s">
        <v>78</v>
      </c>
      <c r="B10" s="21" t="n">
        <f aca="false">5/18</f>
        <v>0.277777777777778</v>
      </c>
      <c r="C10" s="3" t="s">
        <v>79</v>
      </c>
      <c r="D10" s="3" t="s">
        <v>80</v>
      </c>
    </row>
    <row r="11" customFormat="false" ht="15" hidden="false" customHeight="false" outlineLevel="0" collapsed="false">
      <c r="A11" s="3" t="s">
        <v>81</v>
      </c>
      <c r="B11" s="21" t="n">
        <f aca="false">1/6</f>
        <v>0.166666666666667</v>
      </c>
      <c r="C11" s="3" t="s">
        <v>82</v>
      </c>
      <c r="D11" s="3" t="s">
        <v>83</v>
      </c>
    </row>
    <row r="12" customFormat="false" ht="15" hidden="false" customHeight="false" outlineLevel="0" collapsed="false">
      <c r="A12" s="3" t="s">
        <v>84</v>
      </c>
      <c r="B12" s="21" t="n">
        <v>1000</v>
      </c>
      <c r="C12" s="3" t="s">
        <v>82</v>
      </c>
      <c r="D12" s="3" t="s">
        <v>85</v>
      </c>
    </row>
    <row r="13" customFormat="false" ht="15" hidden="false" customHeight="false" outlineLevel="0" collapsed="false">
      <c r="A13" s="3" t="s">
        <v>86</v>
      </c>
      <c r="B13" s="21" t="n">
        <v>10</v>
      </c>
      <c r="C13" s="3" t="s">
        <v>87</v>
      </c>
      <c r="D13" s="3"/>
    </row>
    <row r="14" customFormat="false" ht="15" hidden="false" customHeight="false" outlineLevel="0" collapsed="false">
      <c r="A14" s="3" t="s">
        <v>88</v>
      </c>
      <c r="B14" s="21" t="n">
        <v>20</v>
      </c>
      <c r="C14" s="3" t="s">
        <v>87</v>
      </c>
      <c r="D14" s="3" t="s">
        <v>89</v>
      </c>
    </row>
    <row r="15" customFormat="false" ht="15" hidden="false" customHeight="false" outlineLevel="0" collapsed="false">
      <c r="A15" s="3" t="s">
        <v>90</v>
      </c>
      <c r="B15" s="20" t="n">
        <v>0</v>
      </c>
      <c r="C15" s="3" t="s">
        <v>82</v>
      </c>
      <c r="D15" s="3" t="s">
        <v>91</v>
      </c>
    </row>
    <row r="16" customFormat="false" ht="15" hidden="false" customHeight="false" outlineLevel="0" collapsed="false">
      <c r="A16" s="3" t="s">
        <v>92</v>
      </c>
      <c r="B16" s="21" t="n">
        <v>8.034804</v>
      </c>
      <c r="C16" s="3" t="s">
        <v>65</v>
      </c>
      <c r="D16" s="3" t="s">
        <v>93</v>
      </c>
    </row>
    <row r="17" customFormat="false" ht="15" hidden="false" customHeight="false" outlineLevel="0" collapsed="false">
      <c r="A17" s="3" t="s">
        <v>94</v>
      </c>
      <c r="B17" s="21" t="n">
        <v>-0.987713</v>
      </c>
      <c r="C17" s="3" t="s">
        <v>95</v>
      </c>
      <c r="D17" s="3" t="s">
        <v>93</v>
      </c>
    </row>
    <row r="18" customFormat="false" ht="15" hidden="false" customHeight="false" outlineLevel="0" collapsed="false">
      <c r="A18" s="3" t="s">
        <v>96</v>
      </c>
      <c r="B18" s="21" t="n">
        <v>0.0748</v>
      </c>
      <c r="C18" s="3" t="s">
        <v>97</v>
      </c>
      <c r="D18" s="3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2"/>
  </cols>
  <sheetData>
    <row r="1" customFormat="false" ht="16.15" hidden="false" customHeight="false" outlineLevel="0" collapsed="false">
      <c r="A1" s="1" t="s">
        <v>98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26.85" hidden="false" customHeight="false" outlineLevel="0" collapsed="false">
      <c r="A3" s="23" t="s">
        <v>99</v>
      </c>
      <c r="B3" s="23" t="s">
        <v>100</v>
      </c>
      <c r="C3" s="23" t="s">
        <v>101</v>
      </c>
      <c r="D3" s="23" t="s">
        <v>102</v>
      </c>
      <c r="E3" s="23" t="s">
        <v>103</v>
      </c>
      <c r="F3" s="23" t="s">
        <v>104</v>
      </c>
      <c r="G3" s="23" t="s">
        <v>105</v>
      </c>
    </row>
    <row r="4" customFormat="false" ht="15" hidden="false" customHeight="false" outlineLevel="0" collapsed="false">
      <c r="A4" s="24" t="n">
        <v>2</v>
      </c>
      <c r="B4" s="25" t="n">
        <f aca="false">A4/Parameters!$B$13</f>
        <v>0.2</v>
      </c>
      <c r="C4" s="26" t="n">
        <v>0.565</v>
      </c>
      <c r="D4" s="26" t="n">
        <v>0.566</v>
      </c>
      <c r="E4" s="26" t="n">
        <v>0.563</v>
      </c>
      <c r="F4" s="27" t="n">
        <f aca="false">AVERAGE(C4:E4)</f>
        <v>0.564666666666667</v>
      </c>
      <c r="G4" s="3" t="str">
        <f aca="false">IF(A4&gt;=0.4,"yes","no")</f>
        <v>yes</v>
      </c>
    </row>
    <row r="5" customFormat="false" ht="15" hidden="false" customHeight="false" outlineLevel="0" collapsed="false">
      <c r="A5" s="24" t="n">
        <v>1</v>
      </c>
      <c r="B5" s="25" t="n">
        <f aca="false">A5/Parameters!$B$13</f>
        <v>0.1</v>
      </c>
      <c r="C5" s="26" t="n">
        <v>0.282</v>
      </c>
      <c r="D5" s="26" t="n">
        <v>0.286</v>
      </c>
      <c r="E5" s="26" t="n">
        <v>0.28</v>
      </c>
      <c r="F5" s="27" t="n">
        <f aca="false">AVERAGE(C5:E5)</f>
        <v>0.282666666666667</v>
      </c>
      <c r="G5" s="3" t="str">
        <f aca="false">IF(A5&gt;=0.4,"yes","no")</f>
        <v>yes</v>
      </c>
    </row>
    <row r="6" customFormat="false" ht="15" hidden="false" customHeight="false" outlineLevel="0" collapsed="false">
      <c r="A6" s="24" t="n">
        <v>0.8</v>
      </c>
      <c r="B6" s="25" t="n">
        <f aca="false">A6/Parameters!$B$13</f>
        <v>0.08</v>
      </c>
      <c r="C6" s="26" t="n">
        <v>0.233</v>
      </c>
      <c r="D6" s="26" t="n">
        <v>0.23</v>
      </c>
      <c r="E6" s="26" t="n">
        <v>0.226</v>
      </c>
      <c r="F6" s="27" t="n">
        <f aca="false">AVERAGE(C6:E6)</f>
        <v>0.229666666666667</v>
      </c>
      <c r="G6" s="3" t="str">
        <f aca="false">IF(A6&gt;=0.4,"yes","no")</f>
        <v>yes</v>
      </c>
    </row>
    <row r="7" customFormat="false" ht="15" hidden="false" customHeight="false" outlineLevel="0" collapsed="false">
      <c r="A7" s="24" t="n">
        <v>0.6</v>
      </c>
      <c r="B7" s="25" t="n">
        <f aca="false">A7/Parameters!$B$13</f>
        <v>0.06</v>
      </c>
      <c r="C7" s="26" t="n">
        <v>0.181</v>
      </c>
      <c r="D7" s="26" t="n">
        <v>0.18</v>
      </c>
      <c r="E7" s="26" t="n">
        <v>0.177</v>
      </c>
      <c r="F7" s="27" t="n">
        <f aca="false">AVERAGE(C7:E7)</f>
        <v>0.179333333333333</v>
      </c>
      <c r="G7" s="3" t="str">
        <f aca="false">IF(A7&gt;=0.4,"yes","no")</f>
        <v>yes</v>
      </c>
    </row>
    <row r="8" customFormat="false" ht="15" hidden="false" customHeight="false" outlineLevel="0" collapsed="false">
      <c r="A8" s="24" t="n">
        <v>0.4</v>
      </c>
      <c r="B8" s="25" t="n">
        <f aca="false">A8/Parameters!$B$13</f>
        <v>0.04</v>
      </c>
      <c r="C8" s="26" t="n">
        <v>0.138</v>
      </c>
      <c r="D8" s="26" t="n">
        <v>0.135</v>
      </c>
      <c r="E8" s="26" t="n">
        <v>0.13</v>
      </c>
      <c r="F8" s="27" t="n">
        <f aca="false">AVERAGE(C8:E8)</f>
        <v>0.134333333333333</v>
      </c>
      <c r="G8" s="3" t="str">
        <f aca="false">IF(A8&gt;=0.4,"yes","no")</f>
        <v>yes</v>
      </c>
    </row>
    <row r="9" customFormat="false" ht="15" hidden="false" customHeight="false" outlineLevel="0" collapsed="false">
      <c r="A9" s="24" t="n">
        <v>0.2</v>
      </c>
      <c r="B9" s="25" t="n">
        <f aca="false">A9/Parameters!$B$13</f>
        <v>0.02</v>
      </c>
      <c r="C9" s="26" t="n">
        <v>0.102</v>
      </c>
      <c r="D9" s="26" t="n">
        <v>0.105</v>
      </c>
      <c r="E9" s="26" t="n">
        <v>0.102</v>
      </c>
      <c r="F9" s="27" t="n">
        <f aca="false">AVERAGE(C9:E9)</f>
        <v>0.103</v>
      </c>
      <c r="G9" s="3" t="str">
        <f aca="false">IF(A9&gt;=0.4,"yes","no")</f>
        <v>no</v>
      </c>
    </row>
    <row r="10" customFormat="false" ht="15" hidden="false" customHeight="false" outlineLevel="0" collapsed="false">
      <c r="A10" s="24" t="n">
        <v>0</v>
      </c>
      <c r="B10" s="25" t="n">
        <f aca="false">A10/Parameters!$B$13</f>
        <v>0</v>
      </c>
      <c r="C10" s="26" t="n">
        <v>0.098</v>
      </c>
      <c r="D10" s="26" t="n">
        <v>0.097</v>
      </c>
      <c r="E10" s="26" t="n">
        <v>0.105</v>
      </c>
      <c r="F10" s="27" t="n">
        <f aca="false">AVERAGE(C10:E10)</f>
        <v>0.1</v>
      </c>
      <c r="G10" s="3" t="str">
        <f aca="false">IF(A10&gt;=0.4,"yes","no")</f>
        <v>no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</row>
    <row r="12" customFormat="false" ht="15" hidden="false" customHeight="false" outlineLevel="0" collapsed="false">
      <c r="A12" s="18" t="s">
        <v>106</v>
      </c>
      <c r="B12" s="2"/>
      <c r="C12" s="2"/>
      <c r="D12" s="2"/>
      <c r="E12" s="2"/>
      <c r="F12" s="2"/>
      <c r="G12" s="2"/>
    </row>
    <row r="13" customFormat="false" ht="15" hidden="false" customHeight="false" outlineLevel="0" collapsed="false">
      <c r="A13" s="3" t="s">
        <v>107</v>
      </c>
      <c r="B13" s="22" t="n">
        <f aca="false">SLOPE(F4:F8,B4:B8)</f>
        <v>2.7192439862543</v>
      </c>
      <c r="C13" s="2"/>
      <c r="D13" s="2"/>
      <c r="E13" s="2"/>
      <c r="F13" s="2"/>
      <c r="G13" s="2"/>
    </row>
    <row r="14" customFormat="false" ht="15" hidden="false" customHeight="false" outlineLevel="0" collapsed="false">
      <c r="A14" s="3" t="s">
        <v>108</v>
      </c>
      <c r="B14" s="22" t="n">
        <f aca="false">INTERCEPT(F4:F8,B4:B8)</f>
        <v>0.017085910652921</v>
      </c>
      <c r="C14" s="2"/>
      <c r="D14" s="2"/>
      <c r="E14" s="2"/>
      <c r="F14" s="2"/>
      <c r="G14" s="2"/>
    </row>
    <row r="15" customFormat="false" ht="15" hidden="false" customHeight="false" outlineLevel="0" collapsed="false">
      <c r="A15" s="3" t="s">
        <v>109</v>
      </c>
      <c r="B15" s="22" t="n">
        <f aca="false">RSQ(F4:F8,B4:B8)</f>
        <v>0.998681999753095</v>
      </c>
      <c r="C15" s="2"/>
      <c r="D15" s="2"/>
      <c r="E15" s="2"/>
      <c r="F15" s="2"/>
      <c r="G15" s="2"/>
    </row>
    <row r="16" customFormat="false" ht="15" hidden="false" customHeight="false" outlineLevel="0" collapsed="false">
      <c r="A16" s="3" t="s">
        <v>110</v>
      </c>
      <c r="B16" s="28" t="n">
        <f aca="false">MIN(B4:B8)*Parameters!$B$14</f>
        <v>0.8</v>
      </c>
      <c r="C16" s="3" t="s">
        <v>111</v>
      </c>
      <c r="D16" s="2"/>
      <c r="E16" s="2"/>
      <c r="F16" s="2"/>
      <c r="G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9" min="2" style="0" width="11"/>
  </cols>
  <sheetData>
    <row r="1" customFormat="false" ht="16.15" hidden="false" customHeight="false" outlineLevel="0" collapsed="false">
      <c r="A1" s="1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2"/>
      <c r="B2" s="18" t="s">
        <v>113</v>
      </c>
      <c r="C2" s="2"/>
      <c r="D2" s="2"/>
      <c r="E2" s="2"/>
      <c r="F2" s="2"/>
      <c r="G2" s="2"/>
      <c r="H2" s="2"/>
      <c r="I2" s="2"/>
      <c r="J2" s="2"/>
      <c r="K2" s="18" t="s">
        <v>114</v>
      </c>
      <c r="L2" s="2"/>
      <c r="M2" s="2"/>
      <c r="N2" s="2"/>
      <c r="O2" s="2"/>
      <c r="P2" s="2"/>
      <c r="Q2" s="2"/>
      <c r="R2" s="2"/>
      <c r="S2" s="2"/>
    </row>
    <row r="3" customFormat="false" ht="31.5" hidden="false" customHeight="true" outlineLevel="0" collapsed="false">
      <c r="A3" s="23" t="s">
        <v>3</v>
      </c>
      <c r="B3" s="23" t="s">
        <v>101</v>
      </c>
      <c r="C3" s="23" t="s">
        <v>102</v>
      </c>
      <c r="D3" s="23" t="s">
        <v>103</v>
      </c>
      <c r="E3" s="23" t="s">
        <v>115</v>
      </c>
      <c r="F3" s="23" t="s">
        <v>116</v>
      </c>
      <c r="G3" s="23" t="s">
        <v>117</v>
      </c>
      <c r="H3" s="23" t="s">
        <v>118</v>
      </c>
      <c r="I3" s="23" t="s">
        <v>119</v>
      </c>
      <c r="J3" s="23" t="s">
        <v>120</v>
      </c>
      <c r="K3" s="23" t="s">
        <v>101</v>
      </c>
      <c r="L3" s="23" t="s">
        <v>102</v>
      </c>
      <c r="M3" s="23" t="s">
        <v>103</v>
      </c>
      <c r="N3" s="23" t="s">
        <v>115</v>
      </c>
      <c r="O3" s="23" t="s">
        <v>116</v>
      </c>
      <c r="P3" s="23" t="s">
        <v>117</v>
      </c>
      <c r="Q3" s="23" t="s">
        <v>118</v>
      </c>
      <c r="R3" s="23" t="s">
        <v>119</v>
      </c>
      <c r="S3" s="23" t="s">
        <v>120</v>
      </c>
    </row>
    <row r="4" customFormat="false" ht="15" hidden="false" customHeight="false" outlineLevel="0" collapsed="false">
      <c r="A4" s="29" t="n">
        <v>18</v>
      </c>
      <c r="B4" s="26" t="n">
        <v>0.395</v>
      </c>
      <c r="C4" s="26" t="n">
        <v>0.454</v>
      </c>
      <c r="D4" s="26" t="n">
        <v>0.457</v>
      </c>
      <c r="E4" s="30" t="n">
        <f aca="false">Parameters!$B$14</f>
        <v>20</v>
      </c>
      <c r="F4" s="28" t="n">
        <f aca="false">IF(B4="","",MAX((B4-Calibration!$B$14)/Calibration!$B$13,0)*$E4)</f>
        <v>2.77955263490459</v>
      </c>
      <c r="G4" s="28" t="n">
        <f aca="false">IF(C4="","",MAX((C4-Calibration!$B$14)/Calibration!$B$13,0)*$E4)</f>
        <v>3.21349677745482</v>
      </c>
      <c r="H4" s="28" t="n">
        <f aca="false">IF(D4="","",MAX((D4-Calibration!$B$14)/Calibration!$B$13,0)*$E4)</f>
        <v>3.23556173385568</v>
      </c>
      <c r="I4" s="31" t="n">
        <f aca="false">AVERAGE(F4:H4)</f>
        <v>3.07620371540503</v>
      </c>
      <c r="J4" s="32" t="str">
        <f aca="false">IF(I4&lt;Calibration!$B$16,"yes","no")</f>
        <v>no</v>
      </c>
      <c r="K4" s="26"/>
      <c r="L4" s="26" t="n">
        <v>0.102</v>
      </c>
      <c r="M4" s="26" t="n">
        <v>0.105</v>
      </c>
      <c r="N4" s="30" t="n">
        <f aca="false">Parameters!$B$14</f>
        <v>20</v>
      </c>
      <c r="O4" s="28" t="str">
        <f aca="false">IF(K4="","",MAX((K4-Calibration!$B$14)/Calibration!$B$13,0)*$N4)</f>
        <v/>
      </c>
      <c r="P4" s="28" t="n">
        <f aca="false">IF(L4="","",MAX((L4-Calibration!$B$14)/Calibration!$B$13,0)*$N4)</f>
        <v>0.624541893087325</v>
      </c>
      <c r="Q4" s="28" t="n">
        <f aca="false">IF(M4="","",MAX((M4-Calibration!$B$14)/Calibration!$B$13,0)*$N4)</f>
        <v>0.646606849488184</v>
      </c>
      <c r="R4" s="31" t="n">
        <f aca="false">AVERAGE(O4:Q4)</f>
        <v>0.635574371287754</v>
      </c>
      <c r="S4" s="32" t="str">
        <f aca="false">IF(R4&lt;Calibration!$B$16,"yes","no")</f>
        <v>yes</v>
      </c>
    </row>
    <row r="5" customFormat="false" ht="15" hidden="false" customHeight="false" outlineLevel="0" collapsed="false">
      <c r="A5" s="29" t="n">
        <v>36</v>
      </c>
      <c r="B5" s="26" t="n">
        <v>0.434</v>
      </c>
      <c r="C5" s="26" t="n">
        <v>0.49</v>
      </c>
      <c r="D5" s="26" t="n">
        <v>0.499</v>
      </c>
      <c r="E5" s="30" t="n">
        <f aca="false">Parameters!$B$14</f>
        <v>20</v>
      </c>
      <c r="F5" s="28" t="n">
        <f aca="false">IF(B5="","",MAX((B5-Calibration!$B$14)/Calibration!$B$13,0)*$E5)</f>
        <v>3.06639706811576</v>
      </c>
      <c r="G5" s="28" t="n">
        <f aca="false">IF(C5="","",MAX((C5-Calibration!$B$14)/Calibration!$B$13,0)*$E5)</f>
        <v>3.47827625426513</v>
      </c>
      <c r="H5" s="28" t="n">
        <f aca="false">IF(D5="","",MAX((D5-Calibration!$B$14)/Calibration!$B$13,0)*$E5)</f>
        <v>3.54447112346771</v>
      </c>
      <c r="I5" s="31" t="n">
        <f aca="false">AVERAGE(F5:H5)</f>
        <v>3.3630481486162</v>
      </c>
      <c r="J5" s="32" t="str">
        <f aca="false">IF(I5&lt;Calibration!$B$16,"yes","no")</f>
        <v>no</v>
      </c>
      <c r="K5" s="26"/>
      <c r="L5" s="26" t="n">
        <v>0.107</v>
      </c>
      <c r="M5" s="26" t="n">
        <v>0.103</v>
      </c>
      <c r="N5" s="30" t="n">
        <f aca="false">Parameters!$B$14</f>
        <v>20</v>
      </c>
      <c r="O5" s="28" t="str">
        <f aca="false">IF(K5="","",MAX((K5-Calibration!$B$14)/Calibration!$B$13,0)*$N5)</f>
        <v/>
      </c>
      <c r="P5" s="28" t="n">
        <f aca="false">IF(L5="","",MAX((L5-Calibration!$B$14)/Calibration!$B$13,0)*$N5)</f>
        <v>0.66131682042209</v>
      </c>
      <c r="Q5" s="28" t="n">
        <f aca="false">IF(M5="","",MAX((M5-Calibration!$B$14)/Calibration!$B$13,0)*$N5)</f>
        <v>0.631896878554278</v>
      </c>
      <c r="R5" s="31" t="n">
        <f aca="false">AVERAGE(O5:Q5)</f>
        <v>0.646606849488184</v>
      </c>
      <c r="S5" s="32" t="str">
        <f aca="false">IF(R5&lt;Calibration!$B$16,"yes","no")</f>
        <v>yes</v>
      </c>
    </row>
    <row r="6" customFormat="false" ht="15" hidden="false" customHeight="false" outlineLevel="0" collapsed="false">
      <c r="A6" s="29" t="n">
        <v>54</v>
      </c>
      <c r="B6" s="26" t="n">
        <v>0.724</v>
      </c>
      <c r="C6" s="26" t="n">
        <v>0.79</v>
      </c>
      <c r="D6" s="26" t="n">
        <v>0.81</v>
      </c>
      <c r="E6" s="30" t="n">
        <f aca="false">Parameters!$B$14</f>
        <v>20</v>
      </c>
      <c r="F6" s="28" t="n">
        <f aca="false">IF(B6="","",MAX((B6-Calibration!$B$14)/Calibration!$B$13,0)*$E6)</f>
        <v>5.19934285353216</v>
      </c>
      <c r="G6" s="28" t="n">
        <f aca="false">IF(C6="","",MAX((C6-Calibration!$B$14)/Calibration!$B$13,0)*$E6)</f>
        <v>5.68477189435107</v>
      </c>
      <c r="H6" s="28" t="n">
        <f aca="false">IF(D6="","",MAX((D6-Calibration!$B$14)/Calibration!$B$13,0)*$E6)</f>
        <v>5.83187160369013</v>
      </c>
      <c r="I6" s="31" t="n">
        <f aca="false">AVERAGE(F6:H6)</f>
        <v>5.57199545052445</v>
      </c>
      <c r="J6" s="32" t="str">
        <f aca="false">IF(I6&lt;Calibration!$B$16,"yes","no")</f>
        <v>no</v>
      </c>
      <c r="K6" s="26"/>
      <c r="L6" s="26" t="n">
        <v>0.104</v>
      </c>
      <c r="M6" s="26" t="n">
        <v>0.111</v>
      </c>
      <c r="N6" s="30" t="n">
        <f aca="false">Parameters!$B$14</f>
        <v>20</v>
      </c>
      <c r="O6" s="28" t="str">
        <f aca="false">IF(K6="","",MAX((K6-Calibration!$B$14)/Calibration!$B$13,0)*$N6)</f>
        <v/>
      </c>
      <c r="P6" s="28" t="n">
        <f aca="false">IF(L6="","",MAX((L6-Calibration!$B$14)/Calibration!$B$13,0)*$N6)</f>
        <v>0.639251864021231</v>
      </c>
      <c r="Q6" s="28" t="n">
        <f aca="false">IF(M6="","",MAX((M6-Calibration!$B$14)/Calibration!$B$13,0)*$N6)</f>
        <v>0.690736762289903</v>
      </c>
      <c r="R6" s="31" t="n">
        <f aca="false">AVERAGE(O6:Q6)</f>
        <v>0.664994313155567</v>
      </c>
      <c r="S6" s="32" t="str">
        <f aca="false">IF(R6&lt;Calibration!$B$16,"yes","no")</f>
        <v>yes</v>
      </c>
    </row>
    <row r="7" customFormat="false" ht="15" hidden="false" customHeight="false" outlineLevel="0" collapsed="false">
      <c r="A7" s="29" t="n">
        <v>72</v>
      </c>
      <c r="B7" s="26" t="n">
        <v>0.98</v>
      </c>
      <c r="C7" s="26" t="n">
        <v>0.897</v>
      </c>
      <c r="D7" s="26" t="n">
        <v>1.032</v>
      </c>
      <c r="E7" s="30" t="n">
        <f aca="false">Parameters!$B$14</f>
        <v>20</v>
      </c>
      <c r="F7" s="28" t="n">
        <f aca="false">IF(B7="","",MAX((B7-Calibration!$B$14)/Calibration!$B$13,0)*$E7)</f>
        <v>7.08221913307216</v>
      </c>
      <c r="G7" s="28" t="n">
        <f aca="false">IF(C7="","",MAX((C7-Calibration!$B$14)/Calibration!$B$13,0)*$E7)</f>
        <v>6.47175533931505</v>
      </c>
      <c r="H7" s="28" t="n">
        <f aca="false">IF(D7="","",MAX((D7-Calibration!$B$14)/Calibration!$B$13,0)*$E7)</f>
        <v>7.46467837735372</v>
      </c>
      <c r="I7" s="31" t="n">
        <f aca="false">AVERAGE(F7:H7)</f>
        <v>7.00621761658031</v>
      </c>
      <c r="J7" s="32" t="str">
        <f aca="false">IF(I7&lt;Calibration!$B$16,"yes","no")</f>
        <v>no</v>
      </c>
      <c r="K7" s="26"/>
      <c r="L7" s="26" t="n">
        <v>0.103</v>
      </c>
      <c r="M7" s="26" t="n">
        <v>0.103</v>
      </c>
      <c r="N7" s="30" t="n">
        <f aca="false">Parameters!$B$14</f>
        <v>20</v>
      </c>
      <c r="O7" s="28" t="str">
        <f aca="false">IF(K7="","",MAX((K7-Calibration!$B$14)/Calibration!$B$13,0)*$N7)</f>
        <v/>
      </c>
      <c r="P7" s="28" t="n">
        <f aca="false">IF(L7="","",MAX((L7-Calibration!$B$14)/Calibration!$B$13,0)*$N7)</f>
        <v>0.631896878554278</v>
      </c>
      <c r="Q7" s="28" t="n">
        <f aca="false">IF(M7="","",MAX((M7-Calibration!$B$14)/Calibration!$B$13,0)*$N7)</f>
        <v>0.631896878554278</v>
      </c>
      <c r="R7" s="31" t="n">
        <f aca="false">AVERAGE(O7:Q7)</f>
        <v>0.631896878554278</v>
      </c>
      <c r="S7" s="32" t="str">
        <f aca="false">IF(R7&lt;Calibration!$B$16,"yes","no")</f>
        <v>yes</v>
      </c>
    </row>
    <row r="8" customFormat="false" ht="15" hidden="false" customHeight="false" outlineLevel="0" collapsed="false">
      <c r="A8" s="29" t="n">
        <v>90</v>
      </c>
      <c r="B8" s="26" t="n">
        <v>1.272</v>
      </c>
      <c r="C8" s="26" t="n">
        <v>1.327</v>
      </c>
      <c r="D8" s="26" t="n">
        <v>1.301</v>
      </c>
      <c r="E8" s="30" t="n">
        <f aca="false">Parameters!$B$14</f>
        <v>20</v>
      </c>
      <c r="F8" s="28" t="n">
        <f aca="false">IF(B8="","",MAX((B8-Calibration!$B$14)/Calibration!$B$13,0)*$E8)</f>
        <v>9.22987488942247</v>
      </c>
      <c r="G8" s="28" t="n">
        <f aca="false">IF(C8="","",MAX((C8-Calibration!$B$14)/Calibration!$B$13,0)*$E8)</f>
        <v>9.63439909010489</v>
      </c>
      <c r="H8" s="28" t="n">
        <f aca="false">IF(D8="","",MAX((D8-Calibration!$B$14)/Calibration!$B$13,0)*$E8)</f>
        <v>9.44316946796411</v>
      </c>
      <c r="I8" s="31" t="n">
        <f aca="false">AVERAGE(F8:H8)</f>
        <v>9.43581448249716</v>
      </c>
      <c r="J8" s="32" t="str">
        <f aca="false">IF(I8&lt;Calibration!$B$16,"yes","no")</f>
        <v>no</v>
      </c>
      <c r="K8" s="26"/>
      <c r="L8" s="26" t="n">
        <v>0.176</v>
      </c>
      <c r="M8" s="26" t="n">
        <v>0.174</v>
      </c>
      <c r="N8" s="30" t="n">
        <f aca="false">Parameters!$B$14</f>
        <v>20</v>
      </c>
      <c r="O8" s="28" t="str">
        <f aca="false">IF(K8="","",MAX((K8-Calibration!$B$14)/Calibration!$B$13,0)*$N8)</f>
        <v/>
      </c>
      <c r="P8" s="28" t="n">
        <f aca="false">IF(L8="","",MAX((L8-Calibration!$B$14)/Calibration!$B$13,0)*$N8)</f>
        <v>1.16881081764186</v>
      </c>
      <c r="Q8" s="28" t="n">
        <f aca="false">IF(M8="","",MAX((M8-Calibration!$B$14)/Calibration!$B$13,0)*$N8)</f>
        <v>1.15410084670795</v>
      </c>
      <c r="R8" s="31" t="n">
        <f aca="false">AVERAGE(O8:Q8)</f>
        <v>1.1614558321749</v>
      </c>
      <c r="S8" s="32" t="str">
        <f aca="false">IF(R8&lt;Calibration!$B$16,"yes","no")</f>
        <v>no</v>
      </c>
    </row>
    <row r="9" customFormat="false" ht="15" hidden="false" customHeight="false" outlineLevel="0" collapsed="false">
      <c r="A9" s="29" t="n">
        <v>108</v>
      </c>
      <c r="B9" s="26" t="n">
        <v>1.07</v>
      </c>
      <c r="C9" s="26" t="n">
        <v>1.139</v>
      </c>
      <c r="D9" s="26" t="n">
        <v>1.149</v>
      </c>
      <c r="E9" s="30" t="n">
        <f aca="false">Parameters!$B$14</f>
        <v>20</v>
      </c>
      <c r="F9" s="28" t="n">
        <f aca="false">IF(B9="","",MAX((B9-Calibration!$B$14)/Calibration!$B$13,0)*$E9)</f>
        <v>7.74416782509794</v>
      </c>
      <c r="G9" s="28" t="n">
        <f aca="false">IF(C9="","",MAX((C9-Calibration!$B$14)/Calibration!$B$13,0)*$E9)</f>
        <v>8.25166182231771</v>
      </c>
      <c r="H9" s="28" t="n">
        <f aca="false">IF(D9="","",MAX((D9-Calibration!$B$14)/Calibration!$B$13,0)*$E9)</f>
        <v>8.32521167698724</v>
      </c>
      <c r="I9" s="31" t="n">
        <f aca="false">AVERAGE(F9:H9)</f>
        <v>8.10701377480096</v>
      </c>
      <c r="J9" s="32" t="str">
        <f aca="false">IF(I9&lt;Calibration!$B$16,"yes","no")</f>
        <v>no</v>
      </c>
      <c r="K9" s="26"/>
      <c r="L9" s="26" t="n">
        <v>0.312</v>
      </c>
      <c r="M9" s="26" t="n">
        <v>0.314</v>
      </c>
      <c r="N9" s="30" t="n">
        <f aca="false">Parameters!$B$14</f>
        <v>20</v>
      </c>
      <c r="O9" s="28" t="str">
        <f aca="false">IF(K9="","",MAX((K9-Calibration!$B$14)/Calibration!$B$13,0)*$N9)</f>
        <v/>
      </c>
      <c r="P9" s="28" t="n">
        <f aca="false">IF(L9="","",MAX((L9-Calibration!$B$14)/Calibration!$B$13,0)*$N9)</f>
        <v>2.16908884114748</v>
      </c>
      <c r="Q9" s="28" t="n">
        <f aca="false">IF(M9="","",MAX((M9-Calibration!$B$14)/Calibration!$B$13,0)*$N9)</f>
        <v>2.18379881208139</v>
      </c>
      <c r="R9" s="31" t="n">
        <f aca="false">AVERAGE(O9:Q9)</f>
        <v>2.17644382661443</v>
      </c>
      <c r="S9" s="32" t="str">
        <f aca="false">IF(R9&lt;Calibration!$B$16,"yes","no")</f>
        <v>no</v>
      </c>
    </row>
    <row r="10" customFormat="false" ht="15" hidden="false" customHeight="false" outlineLevel="0" collapsed="false">
      <c r="A10" s="29" t="n">
        <v>126</v>
      </c>
      <c r="B10" s="26" t="n">
        <v>1.562</v>
      </c>
      <c r="C10" s="26" t="n">
        <v>1.586</v>
      </c>
      <c r="D10" s="26" t="n">
        <v>1.56</v>
      </c>
      <c r="E10" s="30" t="n">
        <f aca="false">Parameters!$B$14</f>
        <v>20</v>
      </c>
      <c r="F10" s="28" t="n">
        <f aca="false">IF(B10="","",MAX((B10-Calibration!$B$14)/Calibration!$B$13,0)*$E10)</f>
        <v>11.3628206748389</v>
      </c>
      <c r="G10" s="28" t="n">
        <f aca="false">IF(C10="","",MAX((C10-Calibration!$B$14)/Calibration!$B$13,0)*$E10)</f>
        <v>11.5393403260457</v>
      </c>
      <c r="H10" s="28" t="n">
        <f aca="false">IF(D10="","",MAX((D10-Calibration!$B$14)/Calibration!$B$13,0)*$E10)</f>
        <v>11.348110703905</v>
      </c>
      <c r="I10" s="31" t="n">
        <f aca="false">AVERAGE(F10:H10)</f>
        <v>11.4167572349299</v>
      </c>
      <c r="J10" s="32" t="str">
        <f aca="false">IF(I10&lt;Calibration!$B$16,"yes","no")</f>
        <v>no</v>
      </c>
      <c r="K10" s="26"/>
      <c r="L10" s="26" t="n">
        <v>0.598</v>
      </c>
      <c r="M10" s="26" t="n">
        <v>0.609</v>
      </c>
      <c r="N10" s="30" t="n">
        <f aca="false">Parameters!$B$14</f>
        <v>20</v>
      </c>
      <c r="O10" s="28" t="str">
        <f aca="false">IF(K10="","",MAX((K10-Calibration!$B$14)/Calibration!$B$13,0)*$N10)</f>
        <v/>
      </c>
      <c r="P10" s="28" t="n">
        <f aca="false">IF(L10="","",MAX((L10-Calibration!$B$14)/Calibration!$B$13,0)*$N10)</f>
        <v>4.27261468469607</v>
      </c>
      <c r="Q10" s="28" t="n">
        <f aca="false">IF(M10="","",MAX((M10-Calibration!$B$14)/Calibration!$B$13,0)*$N10)</f>
        <v>4.35351952483256</v>
      </c>
      <c r="R10" s="31" t="n">
        <f aca="false">AVERAGE(O10:Q10)</f>
        <v>4.31306710476431</v>
      </c>
      <c r="S10" s="32" t="str">
        <f aca="false">IF(R10&lt;Calibration!$B$16,"yes","no")</f>
        <v>no</v>
      </c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customFormat="false" ht="15" hidden="false" customHeight="false" outlineLevel="0" collapsed="false">
      <c r="A12" s="3" t="s">
        <v>121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6"/>
  </cols>
  <sheetData>
    <row r="1" customFormat="false" ht="16.15" hidden="false" customHeight="false" outlineLevel="0" collapsed="false">
      <c r="A1" s="1" t="s">
        <v>122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31.5" hidden="false" customHeight="true" outlineLevel="0" collapsed="false">
      <c r="A3" s="23" t="s">
        <v>3</v>
      </c>
      <c r="B3" s="23" t="s">
        <v>123</v>
      </c>
      <c r="C3" s="23" t="s">
        <v>124</v>
      </c>
      <c r="D3" s="23" t="s">
        <v>125</v>
      </c>
    </row>
    <row r="4" customFormat="false" ht="15" hidden="false" customHeight="false" outlineLevel="0" collapsed="false">
      <c r="A4" s="29" t="n">
        <v>18</v>
      </c>
      <c r="B4" s="24" t="n">
        <v>49.43</v>
      </c>
      <c r="C4" s="24" t="n">
        <v>3.3</v>
      </c>
      <c r="D4" s="24" t="n">
        <v>1.8</v>
      </c>
    </row>
    <row r="5" customFormat="false" ht="15" hidden="false" customHeight="false" outlineLevel="0" collapsed="false">
      <c r="A5" s="29" t="n">
        <v>36</v>
      </c>
      <c r="B5" s="24" t="n">
        <v>49.85</v>
      </c>
      <c r="C5" s="24" t="n">
        <v>4.3</v>
      </c>
      <c r="D5" s="24" t="n">
        <v>2.7</v>
      </c>
    </row>
    <row r="6" customFormat="false" ht="15" hidden="false" customHeight="false" outlineLevel="0" collapsed="false">
      <c r="A6" s="29" t="n">
        <v>54</v>
      </c>
      <c r="B6" s="24" t="n">
        <v>50.26</v>
      </c>
      <c r="C6" s="24" t="n">
        <v>4.7</v>
      </c>
      <c r="D6" s="24" t="n">
        <v>4.7</v>
      </c>
    </row>
    <row r="7" customFormat="false" ht="15" hidden="false" customHeight="false" outlineLevel="0" collapsed="false">
      <c r="A7" s="29" t="n">
        <v>72</v>
      </c>
      <c r="B7" s="24" t="n">
        <v>50.67</v>
      </c>
      <c r="C7" s="24" t="n">
        <v>4.8</v>
      </c>
      <c r="D7" s="24" t="n">
        <v>6.7</v>
      </c>
    </row>
    <row r="8" customFormat="false" ht="15" hidden="false" customHeight="false" outlineLevel="0" collapsed="false">
      <c r="A8" s="29" t="n">
        <v>90</v>
      </c>
      <c r="B8" s="24" t="n">
        <v>51.08</v>
      </c>
      <c r="C8" s="24" t="n">
        <v>4.1</v>
      </c>
      <c r="D8" s="24" t="n">
        <v>8.1</v>
      </c>
    </row>
    <row r="9" customFormat="false" ht="15" hidden="false" customHeight="false" outlineLevel="0" collapsed="false">
      <c r="A9" s="29" t="n">
        <v>108</v>
      </c>
      <c r="B9" s="24" t="n">
        <v>51.49</v>
      </c>
      <c r="C9" s="24" t="n">
        <v>3.6</v>
      </c>
      <c r="D9" s="24" t="n">
        <v>8.3</v>
      </c>
    </row>
    <row r="10" customFormat="false" ht="15" hidden="false" customHeight="false" outlineLevel="0" collapsed="false">
      <c r="A10" s="29" t="n">
        <v>126</v>
      </c>
      <c r="B10" s="24" t="n">
        <v>51.9</v>
      </c>
      <c r="C10" s="24" t="n">
        <v>1.80875</v>
      </c>
      <c r="D10" s="24" t="n">
        <v>7.4</v>
      </c>
    </row>
    <row r="11" customFormat="false" ht="15" hidden="false" customHeight="false" outlineLevel="0" collapsed="false">
      <c r="A11" s="2"/>
      <c r="B11" s="2"/>
      <c r="C11" s="2"/>
      <c r="D11" s="2"/>
    </row>
    <row r="12" customFormat="false" ht="15" hidden="false" customHeight="false" outlineLevel="0" collapsed="false">
      <c r="A12" s="3" t="s">
        <v>126</v>
      </c>
      <c r="B12" s="2"/>
      <c r="C12" s="2"/>
      <c r="D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2026-10-09T20:12:38Z</dcterms:created>
  <dc:creator>openpyxl</dc:creator>
  <dc:description/>
  <dc:language>en-US</dc:language>
  <cp:lastModifiedBy/>
  <dcterms:modified xsi:type="dcterms:W3CDTF">2026-10-09T20:12:38Z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